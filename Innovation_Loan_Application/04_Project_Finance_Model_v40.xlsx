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<sst xmlns="http://schemas.openxmlformats.org/spreadsheetml/2006/main" count="292" uniqueCount="263">
  <si>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</si>
  <si>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</si>
  <si>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</si>
  <si>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</si>
  <si>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</si>
  <si>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</si>
  <si>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</si>
  <si>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</si>
  <si>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</si>
  <si>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</si>
  <si>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</si>
  <si>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</si>
  <si>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</si>
  <si>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</si>
  <si>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</si>
  <si>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</si>
  <si>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</si>
  <si>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</si>
  <si>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3-year cap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</si>
  <si>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</si>
  <si>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</si>
  <si>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</si>
  <si>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</si>
  <si>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</si>
  <si>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</si>
  <si>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</si>
  <si>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</si>
  <si>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</si>
  <si>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</si>
  <si>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Repayment starts immediately after project (no deferred year)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</si>
  <si>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</si>
  <si>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</si>
  <si>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</si>
  <si>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</si>
  <si>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</si>
  <si>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</si>
  <si>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</si>
  <si>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3.7% during 18-month project period (indicative; confirm at Stage 2)</t>
  </si>
  <si>
    <t xml:space="preserve">Interest rate - deferred (post-project, pre-repay)</t>
  </si>
  <si>
    <t xml:space="preserve">Per Competition Doc §5: 3.7% accrued and deferred until repayment (additional to quarterly interest paid)</t>
  </si>
  <si>
    <t xml:space="preserve">Interest rate - repayment period</t>
  </si>
  <si>
    <t xml:space="preserve">7.4% during 5-yr repayment (indicative; confirm at Stage 2)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</si>
  <si>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</si>
  <si>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</si>
  <si>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</si>
  <si>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</si>
  <si>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</si>
  <si>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</si>
  <si>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</si>
  <si>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</si>
  <si>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</si>
  <si>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</si>
  <si>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</si>
  <si>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</si>
  <si>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</si>
  <si>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</si>
  <si>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</si>
  <si>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</si>
  <si>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</si>
  <si>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</si>
  <si>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</si>
  <si>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</si>
  <si>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</si>
  <si>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</si>
  <si>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</si>
  <si>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</si>
  <si>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</si>
  <si>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</si>
  <si>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</si>
  <si>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</si>
  <si>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</si>
  <si>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</si>
  <si>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</si>
  <si>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</si>
  <si>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</si>
  <si>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</si>
  <si>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</si>
  <si>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</si>
  <si>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Y3 TRANSITIONAL CASH NOTE: Year 3 (FY28) shows a transitional cash position (~£-143k) due to loan repayment commencement coinciding with operating revenue scaling phase. Mitigations available: (i) R&amp;D tax credit refund expected Q1 FY28 (~£100-150k against accumulated R&amp;D spend), (ii) M18 ARR run-rate of £350k+ delivers Y3 cash inflow, (iii) Innovate UK Loans hardship grace period extension if needed, (iv) trade payable management flex (30-60 days). Cashflow returns to positive in Y4 (£306k+) with strong scaling thereafter (£11M closing cash by Y7).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</si>
  <si>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</si>
  <si>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</si>
  <si>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</si>
  <si>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</si>
  <si>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</si>
  <si>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</si>
  <si>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</si>
  <si>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</si>
  <si>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</si>
  <si>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</si>
  <si>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</si>
  <si>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</si>
  <si>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</si>
  <si>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</si>
  <si>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</si>
  <si>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</si>
  <si>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</si>
  <si>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</si>
  <si>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</si>
  <si>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</si>
  <si>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</si>
  <si>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</si>
  <si>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</si>
  <si>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</si>
  <si>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</si>
  <si>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</si>
  <si>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</si>
  <si>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</si>
  <si>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</si>
  <si>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</si>
  <si>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</si>
  <si>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</si>
  <si>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</si>
  <si>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</si>
  <si>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</si>
  <si>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Oct26-Sep27</t>
  </si>
  <si>
    <t xml:space="preserve">Project (Yr1)</t>
  </si>
  <si>
    <t xml:space="preserve">Y2 Oct27-Mar28</t>
  </si>
  <si>
    <t xml:space="preserve">Project (Yr2 H1)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</si>
  <si>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</si>
  <si>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</si>
  <si>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</si>
  <si>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</si>
  <si>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</si>
  <si>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</si>
  <si>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</si>
  <si>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</si>
  <si>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</si>
  <si>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</si>
  <si>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</si>
  <si>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</si>
  <si>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</si>
  <si>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Mar 2028 (M18). Repayment starts 01 Apr 2028 (no deferred gap year in this plan).</t>
  </si>
  <si>
    <t xml:space="preserve">3) Equal annual principal repayment ~£144,217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</si>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</sst>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79.5" hidden="false" customHeight="true" outlineLevel="0" collapsed="false">
      <c r="A57" s="22" t="s">
        <v>78</v>
      </c>
      <c r="B57" s="22"/>
      <c r="C57" s="22"/>
      <c r="D57" s="22"/>
      <c r="E57" s="22"/>
      <c r="F57" s="22"/>
    </row>
    <row r="58" customFormat="false" ht="15" hidden="false" customHeight="true" outlineLevel="0" collapsed="false"/>
  </sheetData>
  <mergeCells count="6">
    <mergeCell ref="A1:N1"/>
    <mergeCell ref="A10:F10"/>
    <mergeCell ref="A22:F22"/>
    <mergeCell ref="A25:F25"/>
    <mergeCell ref="A55:F55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80</v>
      </c>
      <c r="B3" s="23" t="s">
        <v>81</v>
      </c>
      <c r="C3" s="23" t="s">
        <v>82</v>
      </c>
      <c r="D3" s="23" t="s">
        <v>83</v>
      </c>
      <c r="E3" s="23" t="s">
        <v>84</v>
      </c>
      <c r="F3" s="23" t="s">
        <v>85</v>
      </c>
    </row>
    <row r="4" customFormat="false" ht="15" hidden="false" customHeight="true" outlineLevel="0" collapsed="false">
      <c r="A4" s="24" t="n">
        <v>1</v>
      </c>
      <c r="B4" s="24" t="s">
        <v>86</v>
      </c>
      <c r="C4" s="25" t="s">
        <v>22</v>
      </c>
      <c r="D4" s="7" t="n">
        <v>140000</v>
      </c>
      <c r="E4" s="17" t="n">
        <f aca="false">D4</f>
        <v>140000</v>
      </c>
      <c r="F4" s="14" t="s">
        <v>87</v>
      </c>
    </row>
    <row r="5" customFormat="false" ht="15" hidden="false" customHeight="true" outlineLevel="0" collapsed="false">
      <c r="A5" s="24" t="n">
        <v>2</v>
      </c>
      <c r="B5" s="24" t="s">
        <v>88</v>
      </c>
      <c r="C5" s="25" t="s">
        <v>89</v>
      </c>
      <c r="D5" s="7" t="n">
        <v>140000</v>
      </c>
      <c r="E5" s="17" t="n">
        <f aca="false">E4+D5</f>
        <v>280000</v>
      </c>
      <c r="F5" s="14" t="s">
        <v>90</v>
      </c>
    </row>
    <row r="6" customFormat="false" ht="15" hidden="false" customHeight="true" outlineLevel="0" collapsed="false">
      <c r="A6" s="24" t="n">
        <v>3</v>
      </c>
      <c r="B6" s="24" t="s">
        <v>91</v>
      </c>
      <c r="C6" s="25" t="s">
        <v>92</v>
      </c>
      <c r="D6" s="7" t="n">
        <v>120000</v>
      </c>
      <c r="E6" s="17" t="n">
        <f aca="false">E5+D6</f>
        <v>400000</v>
      </c>
      <c r="F6" s="14" t="s">
        <v>93</v>
      </c>
    </row>
    <row r="7" customFormat="false" ht="15" hidden="false" customHeight="true" outlineLevel="0" collapsed="false">
      <c r="A7" s="24" t="n">
        <v>4</v>
      </c>
      <c r="B7" s="24" t="s">
        <v>94</v>
      </c>
      <c r="C7" s="25" t="s">
        <v>95</v>
      </c>
      <c r="D7" s="7" t="n">
        <v>120000</v>
      </c>
      <c r="E7" s="17" t="n">
        <f aca="false">E6+D7</f>
        <v>520000</v>
      </c>
      <c r="F7" s="14" t="s">
        <v>96</v>
      </c>
    </row>
    <row r="8" customFormat="false" ht="15" hidden="false" customHeight="true" outlineLevel="0" collapsed="false">
      <c r="A8" s="24" t="n">
        <v>5</v>
      </c>
      <c r="B8" s="24" t="s">
        <v>97</v>
      </c>
      <c r="C8" s="25" t="s">
        <v>98</v>
      </c>
      <c r="D8" s="7" t="n">
        <v>100000</v>
      </c>
      <c r="E8" s="17" t="n">
        <f aca="false">E7+D8</f>
        <v>620000</v>
      </c>
      <c r="F8" s="14" t="s">
        <v>99</v>
      </c>
    </row>
    <row r="9" customFormat="false" ht="15" hidden="false" customHeight="true" outlineLevel="0" collapsed="false">
      <c r="A9" s="24" t="n">
        <v>6</v>
      </c>
      <c r="B9" s="24" t="s">
        <v>100</v>
      </c>
      <c r="C9" s="25" t="s">
        <v>101</v>
      </c>
      <c r="D9" s="7" t="n">
        <v>80000</v>
      </c>
      <c r="E9" s="17" t="n">
        <f aca="false">E8+D9</f>
        <v>700000</v>
      </c>
      <c r="F9" s="14" t="s">
        <v>102</v>
      </c>
    </row>
    <row r="10" customFormat="false" ht="15" hidden="false" customHeight="true" outlineLevel="0" collapsed="false">
      <c r="A10" s="13" t="s">
        <v>103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105</v>
      </c>
      <c r="B3" s="13" t="s">
        <v>106</v>
      </c>
      <c r="C3" s="13" t="s">
        <v>107</v>
      </c>
      <c r="D3" s="13" t="s">
        <v>108</v>
      </c>
      <c r="E3" s="13" t="s">
        <v>109</v>
      </c>
      <c r="F3" s="13" t="s">
        <v>110</v>
      </c>
      <c r="G3" s="13" t="s">
        <v>111</v>
      </c>
      <c r="H3" s="13" t="s">
        <v>112</v>
      </c>
      <c r="I3" s="1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6" t="n">
        <f aca="false">'1_Cover_Assumptions'!$B$19</f>
        <v>0.037</v>
      </c>
      <c r="F4" s="17" t="n">
        <f aca="false">(C4+D4/2)*E4</f>
        <v>9620</v>
      </c>
      <c r="G4" s="7" t="n">
        <v>0</v>
      </c>
      <c r="H4" s="7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I4</f>
        <v>529620</v>
      </c>
      <c r="D5" s="7" t="n">
        <v>180000</v>
      </c>
      <c r="E5" s="27" t="n">
        <f aca="false">'1_Cover_Assumptions'!$B$19*0.5</f>
        <v>0.0185</v>
      </c>
      <c r="F5" s="17" t="n">
        <f aca="false">(C5+D5/2)*E5</f>
        <v>11462.97</v>
      </c>
      <c r="G5" s="7" t="n">
        <v>0</v>
      </c>
      <c r="H5" s="7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I5</f>
        <v>721082.97</v>
      </c>
      <c r="D6" s="7" t="n">
        <v>0</v>
      </c>
      <c r="E6" s="26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I6</f>
        <v>576866.376</v>
      </c>
      <c r="D7" s="7" t="n">
        <v>0</v>
      </c>
      <c r="E7" s="26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I7</f>
        <v>432649.782</v>
      </c>
      <c r="D8" s="7" t="n">
        <v>0</v>
      </c>
      <c r="E8" s="26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I8</f>
        <v>288433.188</v>
      </c>
      <c r="D9" s="7" t="n">
        <v>0</v>
      </c>
      <c r="E9" s="26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I9</f>
        <v>144216.594</v>
      </c>
      <c r="D10" s="7" t="n">
        <v>0</v>
      </c>
      <c r="E10" s="26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128</v>
      </c>
      <c r="D11" s="28" t="n">
        <f aca="false">SUM(D4:D10)</f>
        <v>700000</v>
      </c>
      <c r="F11" s="28" t="n">
        <f aca="false">SUM(F4:F10)</f>
        <v>181163.38934</v>
      </c>
      <c r="G11" s="28" t="n">
        <f aca="false">SUM(G4:G10)</f>
        <v>721082.97</v>
      </c>
      <c r="H11" s="28" t="n">
        <f aca="false">SUM(H4:H10)</f>
        <v>160080.41934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155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27" t="n">
        <f aca="false">IFERROR(B17/B9,0)</f>
        <v>-0.2</v>
      </c>
      <c r="C18" s="27" t="n">
        <f aca="false">IFERROR(C17/C9,0)</f>
        <v>0.728947368421053</v>
      </c>
      <c r="D18" s="27" t="n">
        <f aca="false">IFERROR(D17/D9,0)</f>
        <v>0.837719298245614</v>
      </c>
      <c r="E18" s="27" t="n">
        <f aca="false">IFERROR(E17/E9,0)</f>
        <v>0.876785714285714</v>
      </c>
      <c r="F18" s="27" t="n">
        <f aca="false">IFERROR(F17/F9,0)</f>
        <v>0.882075471698113</v>
      </c>
      <c r="G18" s="27" t="n">
        <f aca="false">IFERROR(G17/G9,0)</f>
        <v>0.888397790055249</v>
      </c>
      <c r="H18" s="27" t="n">
        <f aca="false">IFERROR(H17/H9,0)</f>
        <v>0.893425605536332</v>
      </c>
    </row>
    <row r="20" customFormat="false" ht="15" hidden="false" customHeight="true" outlineLevel="0" collapsed="false">
      <c r="A20" s="30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167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27" t="n">
        <f aca="false">IFERROR(B31/B9,0)</f>
        <v>-6.8</v>
      </c>
      <c r="C32" s="27" t="n">
        <f aca="false">IFERROR(C31/C9,0)</f>
        <v>-0.807894736842105</v>
      </c>
      <c r="D32" s="27" t="n">
        <f aca="false">IFERROR(D31/D9,0)</f>
        <v>0.0456140350877193</v>
      </c>
      <c r="E32" s="27" t="n">
        <f aca="false">IFERROR(E31/E9,0)</f>
        <v>0.358214285714286</v>
      </c>
      <c r="F32" s="27" t="n">
        <f aca="false">IFERROR(F31/F9,0)</f>
        <v>0.480566037735849</v>
      </c>
      <c r="G32" s="27" t="n">
        <f aca="false">IFERROR(G31/G9,0)</f>
        <v>0.569944751381216</v>
      </c>
      <c r="H32" s="27" t="n">
        <f aca="false">IFERROR(H31/H9,0)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'3_Interest_Repayment'!F4/1000</f>
        <v>9.62</v>
      </c>
      <c r="C36" s="35" t="n">
        <f aca="false">'3_Interest_Repayment'!F5/1000</f>
        <v>11.46297</v>
      </c>
      <c r="D36" s="35" t="n">
        <f aca="false">'3_Interest_Repayment'!F6/1000</f>
        <v>53.36013978</v>
      </c>
      <c r="E36" s="35" t="n">
        <f aca="false">'3_Interest_Repayment'!F7/1000</f>
        <v>42.688111824</v>
      </c>
      <c r="F36" s="35" t="n">
        <f aca="false">'3_Interest_Repayment'!F8/1000</f>
        <v>32.016083868</v>
      </c>
      <c r="G36" s="35" t="n">
        <f aca="false">'3_Interest_Repayment'!F9/1000</f>
        <v>21.344055912</v>
      </c>
      <c r="H36" s="35" t="n">
        <f aca="false">'3_Interest_Repayment'!F10/1000</f>
        <v>10.672027956</v>
      </c>
    </row>
    <row r="37" customFormat="false" ht="15" hidden="false" customHeight="true" outlineLevel="0" collapsed="false">
      <c r="A37" s="3" t="s">
        <v>172</v>
      </c>
      <c r="B37" s="31" t="n">
        <f aca="false">B35-B36</f>
        <v>-359.62</v>
      </c>
      <c r="C37" s="31" t="n">
        <f aca="false">C35-C36</f>
        <v>-348.46297</v>
      </c>
      <c r="D37" s="31" t="n">
        <f aca="false">D35-D36</f>
        <v>-61.36013978</v>
      </c>
      <c r="E37" s="31" t="n">
        <f aca="false">E35-E36</f>
        <v>870.311888176</v>
      </c>
      <c r="F37" s="31" t="n">
        <f aca="false">F35-F36</f>
        <v>2394.983916132</v>
      </c>
      <c r="G37" s="31" t="n">
        <f aca="false">G35-G36</f>
        <v>4986.655944088</v>
      </c>
      <c r="H37" s="31" t="n">
        <f aca="false">H35-H36</f>
        <v>9021.327972044</v>
      </c>
    </row>
    <row r="38" customFormat="false" ht="15" hidden="false" customHeight="true" outlineLevel="0" collapsed="false">
      <c r="A38" s="34" t="s">
        <v>173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217.577972044</v>
      </c>
      <c r="F38" s="36" t="n">
        <f aca="false">MAX(0,F37)*0.25</f>
        <v>598.745979033</v>
      </c>
      <c r="G38" s="36" t="n">
        <f aca="false">MAX(0,G37)*0.25</f>
        <v>1246.663986022</v>
      </c>
      <c r="H38" s="36" t="n">
        <f aca="false">MAX(0,H37)*0.25</f>
        <v>2255.331993011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-359.62</v>
      </c>
      <c r="C39" s="37" t="n">
        <f aca="false">C37-C38</f>
        <v>-348.46297</v>
      </c>
      <c r="D39" s="37" t="n">
        <f aca="false">D37-D38</f>
        <v>-61.36013978</v>
      </c>
      <c r="E39" s="37" t="n">
        <f aca="false">E37-E38</f>
        <v>652.733916132</v>
      </c>
      <c r="F39" s="37" t="n">
        <f aca="false">F37-F38</f>
        <v>1796.237937099</v>
      </c>
      <c r="G39" s="37" t="n">
        <f aca="false">G37-G38</f>
        <v>3739.991958066</v>
      </c>
      <c r="H39" s="37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0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-217.577972044</v>
      </c>
      <c r="F7" s="35" t="n">
        <f aca="false">-'4_PnL_Forecast'!F38</f>
        <v>-598.745979033</v>
      </c>
      <c r="G7" s="35" t="n">
        <f aca="false">-'4_PnL_Forecast'!G38</f>
        <v>-1246.663986022</v>
      </c>
      <c r="H7" s="35" t="n">
        <f aca="false">-'4_PnL_Forecast'!H38</f>
        <v>-2255.331993011</v>
      </c>
    </row>
    <row r="8" customFormat="false" ht="15" hidden="false" customHeight="true" outlineLevel="0" collapsed="false">
      <c r="A8" s="3" t="s">
        <v>180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700.422027956</v>
      </c>
      <c r="F8" s="29" t="n">
        <f aca="false">F5+F6+F7</f>
        <v>1808.254020967</v>
      </c>
      <c r="G8" s="29" t="n">
        <f aca="false">G5+G6+G7</f>
        <v>3711.336013978</v>
      </c>
      <c r="H8" s="29" t="n">
        <f aca="false">H5+H6+H7</f>
        <v>6686.668006989</v>
      </c>
    </row>
    <row r="10" customFormat="false" ht="15" hidden="false" customHeight="true" outlineLevel="0" collapsed="false">
      <c r="A10" s="30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-144.216594</v>
      </c>
      <c r="E16" s="35" t="n">
        <f aca="false">-'3_Interest_Repayment'!G7/1000</f>
        <v>-144.216594</v>
      </c>
      <c r="F16" s="35" t="n">
        <f aca="false">-'3_Interest_Repayment'!G8/1000</f>
        <v>-144.216594</v>
      </c>
      <c r="G16" s="35" t="n">
        <f aca="false">-'3_Interest_Repayment'!G9/1000</f>
        <v>-144.216594</v>
      </c>
      <c r="H16" s="35" t="n">
        <f aca="false">-'3_Interest_Repayment'!G10/1000</f>
        <v>-144.216594</v>
      </c>
    </row>
    <row r="17" customFormat="false" ht="15" hidden="false" customHeight="true" outlineLevel="0" collapsed="false">
      <c r="A17" s="34" t="s">
        <v>187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-53.36013978</v>
      </c>
      <c r="E17" s="35" t="n">
        <f aca="false">-'3_Interest_Repayment'!H7/1000</f>
        <v>-42.688111824</v>
      </c>
      <c r="F17" s="35" t="n">
        <f aca="false">-'3_Interest_Repayment'!H8/1000</f>
        <v>-32.016083868</v>
      </c>
      <c r="G17" s="35" t="n">
        <f aca="false">-'3_Interest_Repayment'!H9/1000</f>
        <v>-21.344055912</v>
      </c>
      <c r="H17" s="35" t="n">
        <f aca="false">-'3_Interest_Repayment'!H10/1000</f>
        <v>-10.672027956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1" t="n">
        <f aca="false">B15+B16+B17+B18</f>
        <v>520</v>
      </c>
      <c r="C19" s="31" t="n">
        <f aca="false">C15+C16+C17+C18</f>
        <v>1180</v>
      </c>
      <c r="D19" s="31" t="n">
        <f aca="false">D15+D16+D17+D18</f>
        <v>-197.57673378</v>
      </c>
      <c r="E19" s="31" t="n">
        <f aca="false">E15+E16+E17+E18</f>
        <v>-186.904705824</v>
      </c>
      <c r="F19" s="31" t="n">
        <f aca="false">F15+F16+F17+F18</f>
        <v>-176.232677868</v>
      </c>
      <c r="G19" s="31" t="n">
        <f aca="false">G15+G16+G17+G18</f>
        <v>-165.560649912</v>
      </c>
      <c r="H19" s="31" t="n">
        <f aca="false">H15+H16+H17+H18</f>
        <v>-154.888621956</v>
      </c>
    </row>
    <row r="21" customFormat="false" ht="15" hidden="false" customHeight="true" outlineLevel="0" collapsed="false">
      <c r="A21" s="32" t="s">
        <v>190</v>
      </c>
      <c r="B21" s="33" t="n">
        <f aca="false">B8+B12+B19</f>
        <v>110</v>
      </c>
      <c r="C21" s="33" t="n">
        <f aca="false">C8+C12+C19</f>
        <v>798</v>
      </c>
      <c r="D21" s="33" t="n">
        <f aca="false">D8+D12+D19</f>
        <v>-240.57673378</v>
      </c>
      <c r="E21" s="33" t="n">
        <f aca="false">E8+E12+E19</f>
        <v>448.517322132</v>
      </c>
      <c r="F21" s="33" t="n">
        <f aca="false">F8+F12+F19</f>
        <v>1547.021343099</v>
      </c>
      <c r="G21" s="33" t="n">
        <f aca="false">G8+G12+G19</f>
        <v>3435.775364066</v>
      </c>
      <c r="H21" s="33" t="n">
        <f aca="false">H8+H12+H19</f>
        <v>6381.779385033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110</v>
      </c>
      <c r="D22" s="36" t="n">
        <f aca="false">C23</f>
        <v>908</v>
      </c>
      <c r="E22" s="36" t="n">
        <f aca="false">D23</f>
        <v>667.42326622</v>
      </c>
      <c r="F22" s="36" t="n">
        <f aca="false">E23</f>
        <v>1115.940588352</v>
      </c>
      <c r="G22" s="36" t="n">
        <f aca="false">F23</f>
        <v>2662.961931451</v>
      </c>
      <c r="H22" s="36" t="n">
        <f aca="false">G23</f>
        <v>6098.737295517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110</v>
      </c>
      <c r="C23" s="37" t="n">
        <f aca="false">C22+C21</f>
        <v>908</v>
      </c>
      <c r="D23" s="37" t="n">
        <f aca="false">D22+D21</f>
        <v>667.42326622</v>
      </c>
      <c r="E23" s="37" t="n">
        <f aca="false">E22+E21</f>
        <v>1115.940588352</v>
      </c>
      <c r="F23" s="37" t="n">
        <f aca="false">F22+F21</f>
        <v>2662.961931451</v>
      </c>
      <c r="G23" s="37" t="n">
        <f aca="false">G22+G21</f>
        <v>6098.737295517</v>
      </c>
      <c r="H23" s="37" t="n">
        <f aca="false">H22+H21</f>
        <v>12480.51668055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0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110</v>
      </c>
      <c r="C5" s="35" t="n">
        <f aca="false">'5_Cashflow'!C23</f>
        <v>908</v>
      </c>
      <c r="D5" s="35" t="n">
        <f aca="false">'5_Cashflow'!D23</f>
        <v>667.42326622</v>
      </c>
      <c r="E5" s="35" t="n">
        <f aca="false">'5_Cashflow'!E23</f>
        <v>1115.940588352</v>
      </c>
      <c r="F5" s="35" t="n">
        <f aca="false">'5_Cashflow'!F23</f>
        <v>2662.961931451</v>
      </c>
      <c r="G5" s="35" t="n">
        <f aca="false">'5_Cashflow'!G23</f>
        <v>6098.737295517</v>
      </c>
      <c r="H5" s="35" t="n">
        <f aca="false">'5_Cashflow'!H23</f>
        <v>12480.51668055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9" t="n">
        <f aca="false">SUM(B5:B7)</f>
        <v>140</v>
      </c>
      <c r="C8" s="29" t="n">
        <f aca="false">SUM(C5:C7)</f>
        <v>973</v>
      </c>
      <c r="D8" s="29" t="n">
        <f aca="false">SUM(D5:D7)</f>
        <v>802.42326622</v>
      </c>
      <c r="E8" s="29" t="n">
        <f aca="false">SUM(E5:E7)</f>
        <v>1365.940588352</v>
      </c>
      <c r="F8" s="29" t="n">
        <f aca="false">SUM(F5:F7)</f>
        <v>3092.961931451</v>
      </c>
      <c r="G8" s="29" t="n">
        <f aca="false">SUM(G5:G7)</f>
        <v>6768.737295517</v>
      </c>
      <c r="H8" s="29" t="n">
        <f aca="false">SUM(H5:H7)</f>
        <v>13470.51668055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270</v>
      </c>
      <c r="C12" s="37" t="n">
        <f aca="false">C8+C11</f>
        <v>1233</v>
      </c>
      <c r="D12" s="37" t="n">
        <f aca="false">D8+D11</f>
        <v>1202.42326622</v>
      </c>
      <c r="E12" s="37" t="n">
        <f aca="false">E8+E11</f>
        <v>1935.940588352</v>
      </c>
      <c r="F12" s="37" t="n">
        <f aca="false">F8+F11</f>
        <v>3862.961931451</v>
      </c>
      <c r="G12" s="37" t="n">
        <f aca="false">G8+G11</f>
        <v>7778.737295517</v>
      </c>
      <c r="H12" s="37" t="n">
        <f aca="false">H8+H11</f>
        <v>14770.51668055</v>
      </c>
    </row>
    <row r="14" customFormat="false" ht="15" hidden="false" customHeight="true" outlineLevel="0" collapsed="false">
      <c r="A14" s="30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MAX(0,'3_Interest_Repayment'!I4/1000)</f>
        <v>529.62</v>
      </c>
      <c r="C19" s="36" t="n">
        <f aca="false">MAX(0,'3_Interest_Repayment'!I5/1000)</f>
        <v>721.08297</v>
      </c>
      <c r="D19" s="36" t="n">
        <f aca="false">MAX(0,'3_Interest_Repayment'!I6/1000)</f>
        <v>576.866376</v>
      </c>
      <c r="E19" s="36" t="n">
        <f aca="false">MAX(0,'3_Interest_Repayment'!I7/1000)</f>
        <v>432.649782</v>
      </c>
      <c r="F19" s="36" t="n">
        <f aca="false">MAX(0,'3_Interest_Repayment'!I8/1000)</f>
        <v>288.433188</v>
      </c>
      <c r="G19" s="36" t="n">
        <f aca="false">MAX(0,'3_Interest_Repayment'!I9/1000)</f>
        <v>144.216594</v>
      </c>
      <c r="H19" s="36" t="n">
        <f aca="false">MAX(0,'3_Interest_Repayment'!I10/1000)</f>
        <v>1.14596332423389E-013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576.866376</v>
      </c>
      <c r="E20" s="40" t="n">
        <f aca="false">E19</f>
        <v>432.649782</v>
      </c>
      <c r="F20" s="40" t="n">
        <f aca="false">F19</f>
        <v>288.433188</v>
      </c>
      <c r="G20" s="40" t="n">
        <f aca="false">G19</f>
        <v>144.216594</v>
      </c>
      <c r="H20" s="40" t="n">
        <f aca="false">H19</f>
        <v>1.14596332423389E-013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644.866376</v>
      </c>
      <c r="E21" s="37" t="n">
        <f aca="false">E18+E20</f>
        <v>542.649782</v>
      </c>
      <c r="F21" s="37" t="n">
        <f aca="false">F18+F20</f>
        <v>458.433188</v>
      </c>
      <c r="G21" s="37" t="n">
        <f aca="false">G18+G20</f>
        <v>394.216594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-359.62</v>
      </c>
      <c r="C25" s="36" t="n">
        <f aca="false">B25+'4_PnL_Forecast'!C39</f>
        <v>-708.08297</v>
      </c>
      <c r="D25" s="36" t="n">
        <f aca="false">C25+'4_PnL_Forecast'!D39</f>
        <v>-769.44310978</v>
      </c>
      <c r="E25" s="36" t="n">
        <f aca="false">D25+'4_PnL_Forecast'!E39</f>
        <v>-116.709193648</v>
      </c>
      <c r="F25" s="36" t="n">
        <f aca="false">E25+'4_PnL_Forecast'!F39</f>
        <v>1679.528743451</v>
      </c>
      <c r="G25" s="36" t="n">
        <f aca="false">F25+'4_PnL_Forecast'!G39</f>
        <v>5419.520701517</v>
      </c>
      <c r="H25" s="36" t="n">
        <f aca="false">G25+'4_PnL_Forecast'!H39</f>
        <v>12185.51668055</v>
      </c>
    </row>
    <row r="26" customFormat="false" ht="15" hidden="false" customHeight="true" outlineLevel="0" collapsed="false">
      <c r="A26" s="11" t="s">
        <v>214</v>
      </c>
      <c r="B26" s="36" t="n">
        <f aca="false">B12-B21-B24-B25</f>
        <v>-120</v>
      </c>
      <c r="C26" s="36" t="n">
        <f aca="false">C12-C21-C24-C25</f>
        <v>-20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</v>
      </c>
      <c r="G26" s="36" t="n">
        <f aca="false">G12-G21-G24-G25</f>
        <v>764.999999999999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-279.62</v>
      </c>
      <c r="C27" s="37" t="n">
        <f aca="false">C24+C25+C26</f>
        <v>471.91703</v>
      </c>
      <c r="D27" s="37" t="n">
        <f aca="false">D24+D25+D26</f>
        <v>557.55689022</v>
      </c>
      <c r="E27" s="37" t="n">
        <f aca="false">E24+E25+E26</f>
        <v>1393.290806352</v>
      </c>
      <c r="F27" s="37" t="n">
        <f aca="false">F24+F25+F26</f>
        <v>3404.528743451</v>
      </c>
      <c r="G27" s="37" t="n">
        <f aca="false">G24+G25+G26</f>
        <v>7384.520701517</v>
      </c>
      <c r="H27" s="37" t="n">
        <f aca="false">H24+H25+H26</f>
        <v>14410.51668055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270</v>
      </c>
      <c r="C29" s="37" t="n">
        <f aca="false">C21+C27</f>
        <v>1233</v>
      </c>
      <c r="D29" s="37" t="n">
        <f aca="false">D21+D27</f>
        <v>1202.42326622</v>
      </c>
      <c r="E29" s="37" t="n">
        <f aca="false">E21+E27</f>
        <v>1935.940588352</v>
      </c>
      <c r="F29" s="37" t="n">
        <f aca="false">F21+F27</f>
        <v>3862.961931451</v>
      </c>
      <c r="G29" s="37" t="n">
        <f aca="false">G21+G27</f>
        <v>7778.737295517</v>
      </c>
      <c r="H29" s="37" t="n">
        <f aca="false">H21+H27</f>
        <v>14770.51668055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7</v>
      </c>
      <c r="C32" s="42" t="n">
        <f aca="false">IFERROR(C8/C18,0)</f>
        <v>24.325</v>
      </c>
      <c r="D32" s="42" t="n">
        <f aca="false">IFERROR(D8/D18,0)</f>
        <v>11.8003421502941</v>
      </c>
      <c r="E32" s="42" t="n">
        <f aca="false">IFERROR(E8/E18,0)</f>
        <v>12.4176417122909</v>
      </c>
      <c r="F32" s="42" t="n">
        <f aca="false">IFERROR(F8/F18,0)</f>
        <v>18.1938937144176</v>
      </c>
      <c r="G32" s="42" t="n">
        <f aca="false">IFERROR(G8/G18,0)</f>
        <v>27.074949182068</v>
      </c>
      <c r="H32" s="42" t="n">
        <f aca="false">IFERROR(H8/H18,0)</f>
        <v>37.4181018904167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247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248</v>
      </c>
      <c r="B5" s="50" t="s">
        <v>249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27" t="n">
        <f aca="false">IFERROR('4_PnL_Forecast'!B17/'4_PnL_Forecast'!B9,0)</f>
        <v>-0.2</v>
      </c>
      <c r="C6" s="27" t="n">
        <f aca="false">IFERROR('4_PnL_Forecast'!C17/'4_PnL_Forecast'!C9,0)</f>
        <v>0.728947368421053</v>
      </c>
      <c r="D6" s="27" t="n">
        <f aca="false">IFERROR('4_PnL_Forecast'!D17/'4_PnL_Forecast'!D9,0)</f>
        <v>0.837719298245614</v>
      </c>
      <c r="E6" s="27" t="n">
        <f aca="false">IFERROR('4_PnL_Forecast'!E17/'4_PnL_Forecast'!E9,0)</f>
        <v>0.876785714285714</v>
      </c>
      <c r="F6" s="27" t="n">
        <f aca="false">IFERROR('4_PnL_Forecast'!F17/'4_PnL_Forecast'!F9,0)</f>
        <v>0.882075471698113</v>
      </c>
      <c r="G6" s="27" t="n">
        <f aca="false">IFERROR('4_PnL_Forecast'!G17/'4_PnL_Forecast'!G9,0)</f>
        <v>0.888397790055249</v>
      </c>
      <c r="H6" s="27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27" t="n">
        <f aca="false">IFERROR('4_PnL_Forecast'!B31/'4_PnL_Forecast'!B9,0)</f>
        <v>-6.8</v>
      </c>
      <c r="C7" s="27" t="n">
        <f aca="false">IFERROR('4_PnL_Forecast'!C31/'4_PnL_Forecast'!C9,0)</f>
        <v>-0.807894736842105</v>
      </c>
      <c r="D7" s="27" t="n">
        <f aca="false">IFERROR('4_PnL_Forecast'!D31/'4_PnL_Forecast'!D9,0)</f>
        <v>0.0456140350877193</v>
      </c>
      <c r="E7" s="27" t="n">
        <f aca="false">IFERROR('4_PnL_Forecast'!E31/'4_PnL_Forecast'!E9,0)</f>
        <v>0.358214285714286</v>
      </c>
      <c r="F7" s="27" t="n">
        <f aca="false">IFERROR('4_PnL_Forecast'!F31/'4_PnL_Forecast'!F9,0)</f>
        <v>0.480566037735849</v>
      </c>
      <c r="G7" s="27" t="n">
        <f aca="false">IFERROR('4_PnL_Forecast'!G31/'4_PnL_Forecast'!G9,0)</f>
        <v>0.569944751381216</v>
      </c>
      <c r="H7" s="27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250</v>
      </c>
      <c r="B8" s="35" t="n">
        <f aca="false">'5_Cashflow'!B23</f>
        <v>110</v>
      </c>
      <c r="C8" s="35" t="n">
        <f aca="false">'5_Cashflow'!C23</f>
        <v>908</v>
      </c>
      <c r="D8" s="35" t="n">
        <f aca="false">'5_Cashflow'!D23</f>
        <v>667.42326622</v>
      </c>
      <c r="E8" s="35" t="n">
        <f aca="false">'5_Cashflow'!E23</f>
        <v>1115.940588352</v>
      </c>
      <c r="F8" s="35" t="n">
        <f aca="false">'5_Cashflow'!F23</f>
        <v>2662.961931451</v>
      </c>
      <c r="G8" s="35" t="n">
        <f aca="false">'5_Cashflow'!G23</f>
        <v>6098.737295517</v>
      </c>
      <c r="H8" s="35" t="n">
        <f aca="false">'5_Cashflow'!H23</f>
        <v>12480.51668055</v>
      </c>
    </row>
    <row r="9" customFormat="false" ht="15" hidden="false" customHeight="true" outlineLevel="0" collapsed="false">
      <c r="A9" s="51" t="s">
        <v>251</v>
      </c>
      <c r="B9" s="52" t="n">
        <f aca="false">'6_Balance_Sheet'!B32</f>
        <v>7</v>
      </c>
      <c r="C9" s="52" t="n">
        <f aca="false">'6_Balance_Sheet'!C32</f>
        <v>24.325</v>
      </c>
      <c r="D9" s="52" t="n">
        <f aca="false">'6_Balance_Sheet'!D32</f>
        <v>11.8003421502941</v>
      </c>
      <c r="E9" s="52" t="n">
        <f aca="false">'6_Balance_Sheet'!E32</f>
        <v>12.4176417122909</v>
      </c>
      <c r="F9" s="52" t="n">
        <f aca="false">'6_Balance_Sheet'!F32</f>
        <v>18.1938937144176</v>
      </c>
      <c r="G9" s="52" t="n">
        <f aca="false">'6_Balance_Sheet'!G32</f>
        <v>27.074949182068</v>
      </c>
      <c r="H9" s="52" t="n">
        <f aca="false">'6_Balance_Sheet'!H32</f>
        <v>37.4181018904167</v>
      </c>
    </row>
    <row r="10" customFormat="false" ht="15" hidden="false" customHeight="true" outlineLevel="0" collapsed="false">
      <c r="A10" s="34" t="s">
        <v>252</v>
      </c>
      <c r="B10" s="53" t="n">
        <f aca="false">IFERROR('4_PnL_Forecast'!B31/MAX(1,('3_Interest_Repayment'!G4+'3_Interest_Repayment'!H4)/1000),0)</f>
        <v>-340</v>
      </c>
      <c r="C10" s="53" t="n">
        <f aca="false">IFERROR('4_PnL_Forecast'!C31/MAX(1,('3_Interest_Repayment'!G5+'3_Interest_Repayment'!H5)/1000),0)</f>
        <v>-307</v>
      </c>
      <c r="D10" s="53" t="n">
        <f aca="false">IFERROR('4_PnL_Forecast'!D31/MAX(1,('3_Interest_Repayment'!G6+'3_Interest_Repayment'!H6)/1000),0)</f>
        <v>0.263188883656218</v>
      </c>
      <c r="E10" s="53" t="n">
        <f aca="false">IFERROR('4_PnL_Forecast'!E31/MAX(1,('3_Interest_Repayment'!G7+'3_Interest_Repayment'!H7)/1000),0)</f>
        <v>5.36637103693088</v>
      </c>
      <c r="F10" s="53" t="n">
        <f aca="false">IFERROR('4_PnL_Forecast'!F31/MAX(1,('3_Interest_Repayment'!G8+'3_Interest_Repayment'!H8)/1000),0)</f>
        <v>14.4524842430626</v>
      </c>
      <c r="G10" s="53" t="n">
        <f aca="false">IFERROR('4_PnL_Forecast'!G31/MAX(1,('3_Interest_Repayment'!G9+'3_Interest_Repayment'!H9)/1000),0)</f>
        <v>31.1547460265565</v>
      </c>
      <c r="H10" s="53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6" t="s">
        <v>253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254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255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256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257</v>
      </c>
      <c r="B16" s="54" t="n">
        <f aca="false">IFERROR(B15/MAX(1,('3_Interest_Repayment'!G4+'3_Interest_Repayment'!H4)/1000),0)</f>
        <v>-337</v>
      </c>
      <c r="C16" s="54" t="n">
        <f aca="false">IFERROR(C15/MAX(1,('3_Interest_Repayment'!G5+'3_Interest_Repayment'!H5)/1000),0)</f>
        <v>-390.1</v>
      </c>
      <c r="D16" s="54" t="n">
        <f aca="false">IFERROR(D15/MAX(1,('3_Interest_Repayment'!G6+'3_Interest_Repayment'!H6)/1000),0)</f>
        <v>-1.18688063879583</v>
      </c>
      <c r="E16" s="54" t="n">
        <f aca="false">IFERROR(E15/MAX(1,('3_Interest_Repayment'!G7+'3_Interest_Repayment'!H7)/1000),0)</f>
        <v>1.42586030044076</v>
      </c>
      <c r="F16" s="54" t="n">
        <f aca="false">IFERROR(F15/MAX(1,('3_Interest_Repayment'!G8+'3_Interest_Repayment'!H8)/1000),0)</f>
        <v>6.49425528707702</v>
      </c>
      <c r="G16" s="54" t="n">
        <f aca="false">IFERROR(G15/MAX(1,('3_Interest_Repayment'!G9+'3_Interest_Repayment'!H9)/1000),0)</f>
        <v>16.5860668066933</v>
      </c>
      <c r="H16" s="54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6" t="s">
        <v>258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259</v>
      </c>
      <c r="B19" s="55" t="n">
        <f aca="false">'1_Cover_Assumptions'!B51</f>
        <v>0.119241397584889</v>
      </c>
      <c r="D19" s="11" t="s">
        <v>260</v>
      </c>
    </row>
    <row r="20" customFormat="false" ht="15" hidden="false" customHeight="true" outlineLevel="0" collapsed="false">
      <c r="A20" s="34" t="s">
        <v>261</v>
      </c>
      <c r="B20" s="52" t="n">
        <f aca="false">MIN('6_Balance_Sheet'!B32:H32)</f>
        <v>7</v>
      </c>
      <c r="D20" s="11" t="s">
        <v>262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2026-05-09T21:17:01Z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