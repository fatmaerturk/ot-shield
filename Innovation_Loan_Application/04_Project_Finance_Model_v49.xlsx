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<sst xmlns="http://schemas.openxmlformats.org/spreadsheetml/2006/main" count="292" uniqueCount="263">
  <si>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</si>
  <si>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</si>
  <si>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</si>
  <si>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</si>
  <si>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</si>
  <si>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</si>
  <si>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</si>
  <si>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</si>
  <si>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</si>
  <si>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</si>
  <si>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</si>
  <si>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</si>
  <si>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</si>
  <si>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</si>
  <si>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</si>
  <si>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</si>
  <si>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</si>
  <si>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</si>
  <si>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</si>
  <si>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</si>
  <si>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</si>
  <si>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</si>
  <si>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</si>
  <si>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</si>
  <si>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</si>
  <si>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</si>
  <si>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</si>
  <si>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</si>
  <si>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</si>
  <si>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</si>
  <si>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</si>
  <si>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</si>
  <si>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</si>
  <si>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</si>
  <si>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</si>
  <si>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</si>
  <si>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</si>
  <si>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</si>
  <si>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</si>
  <si>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</si>
  <si>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</si>
  <si>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</si>
  <si>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</si>
  <si>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</si>
  <si>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</si>
  <si>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</si>
  <si>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</si>
  <si>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</si>
  <si>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</si>
  <si>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</si>
  <si>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</si>
  <si>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</si>
  <si>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</si>
  <si>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</si>
  <si>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</si>
  <si>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</si>
  <si>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</si>
  <si>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</si>
  <si>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</si>
  <si>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</si>
  <si>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</si>
  <si>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</si>
  <si>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</si>
  <si>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</si>
  <si>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</si>
  <si>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</si>
  <si>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</si>
  <si>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</si>
  <si>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</si>
  <si>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</si>
  <si>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</si>
  <si>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</si>
  <si>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</si>
  <si>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</si>
  <si>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</si>
  <si>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</si>
  <si>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</si>
  <si>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</si>
  <si>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</si>
  <si>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</si>
  <si>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</si>
  <si>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</si>
  <si>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</si>
  <si>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</si>
  <si>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</si>
  <si>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</si>
  <si>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</si>
  <si>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</si>
  <si>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</si>
  <si>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</si>
  <si>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</si>
  <si>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</si>
  <si>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</si>
  <si>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</si>
  <si>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</si>
  <si>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</si>
  <si>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</si>
  <si>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</si>
  <si>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</si>
  <si>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</si>
  <si>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</si>
  <si>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</si>
  <si>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</si>
  <si>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</si>
  <si>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</si>
  <si>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</si>
  <si>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</si>
  <si>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</si>
  <si>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</si>
  <si>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</si>
  <si>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</si>
  <si>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</si>
  <si>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</si>
  <si>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</si>
  <si>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</si>
  <si>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</si>
  <si>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</si>
  <si>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</si>
  <si>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</si>
  <si>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</si>
  <si>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</si>
  <si>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</si>
  <si>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</si>
  <si>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</si>
  <si>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</si>
  <si>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</si>
  <si>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</si>
  <si>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</si>
  <si>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</si>
  <si>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</si>
  <si>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</si>
  <si>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</si>
  <si>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</si>
  <si>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</si>
  <si>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</si>
  <si>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</si>
  <si>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</si>
  <si>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</si>
  <si>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</si>
  <si>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</si>
  <si>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</si>
  <si>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</si>
  <si>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</si>
  <si>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</si>
  <si>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</si>
  <si>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</si>
  <si>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</si>
  <si>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</si>
  <si>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</si>
  <si>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</si>
  <si>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</si>
  <si>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</si>
  <si>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</si>
  <si>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</si>
  <si>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</si>
  <si>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</si>
  <si>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</si>
  <si>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</si>
  <si>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</si>
  <si>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</si>
  <si>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</si>
  <si>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</si>
  <si>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</si>
  <si>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</si>
  <si>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</si>
  <si>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</si>
  <si>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</si>
  <si>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</si>
  <si>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</si>
  <si>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</si>
  <si>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</si>
  <si>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</si>
  <si>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</si>
  <si>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(RDEC credit Y1-Y3, then 25% CT after carry-forward losses)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</si>
  <si>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</si>
  <si>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</si>
  <si>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</si>
  <si>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</si>
  <si>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</si>
  <si>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</si>
  <si>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</si>
  <si>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</si>
  <si>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</si>
  <si>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</si>
  <si>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</si>
  <si>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</si>
  <si>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</si>
  <si>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</si>
  <si>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</si>
  <si>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</si>
  <si>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</si>
  <si>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</si>
  <si>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</si>
  <si>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</si>
  <si>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</si>
  <si>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</si>
  <si>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</si>
  <si>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</si>
  <si>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</si>
  <si>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</si>
  <si>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</si>
  <si>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</si>
  <si>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</si>
  <si>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</si>
  <si>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</si>
  <si>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</si>
  <si>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</si>
  <si>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</si>
  <si>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</si>
  <si>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</si>
  <si>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</si>
  <si>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</si>
  <si>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</si>
  <si>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</si>
  <si>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(R&amp;D capitalisation, working capital adjustments, IFRS reconciliation)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</si>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</sst>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10" min="3" style="1" width="16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39.75" hidden="false" customHeight="true" outlineLevel="0" collapsed="false">
      <c r="A3" s="23" t="s">
        <v>104</v>
      </c>
      <c r="B3" s="23" t="s">
        <v>105</v>
      </c>
      <c r="C3" s="23" t="s">
        <v>106</v>
      </c>
      <c r="D3" s="23" t="s">
        <v>107</v>
      </c>
      <c r="E3" s="23" t="s">
        <v>108</v>
      </c>
      <c r="F3" s="23" t="s">
        <v>109</v>
      </c>
      <c r="G3" s="23" t="s">
        <v>110</v>
      </c>
      <c r="H3" s="23" t="s">
        <v>111</v>
      </c>
      <c r="I3" s="23" t="s">
        <v>112</v>
      </c>
      <c r="J3" s="2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7" t="n">
        <v>0.037</v>
      </c>
      <c r="F4" s="17" t="n">
        <f aca="false">(C4+D4/2)*E4*12/12</f>
        <v>9620</v>
      </c>
      <c r="G4" s="17" t="n">
        <f aca="false">(C4+D4/2)*E4*12/12</f>
        <v>9620</v>
      </c>
      <c r="H4" s="7" t="n">
        <v>0</v>
      </c>
      <c r="I4" s="7" t="n">
        <v>0</v>
      </c>
      <c r="J4" s="17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J4</f>
        <v>529620</v>
      </c>
      <c r="D5" s="7" t="n">
        <v>180000</v>
      </c>
      <c r="E5" s="27" t="n">
        <v>0.037</v>
      </c>
      <c r="F5" s="17" t="n">
        <f aca="false">(C5+D5/2)*E5*6/12</f>
        <v>11462.97</v>
      </c>
      <c r="G5" s="17" t="n">
        <f aca="false">(C5+D5/2)*E5*6/12</f>
        <v>11462.97</v>
      </c>
      <c r="H5" s="7" t="n">
        <v>0</v>
      </c>
      <c r="I5" s="7" t="n">
        <v>0</v>
      </c>
      <c r="J5" s="17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J5</f>
        <v>721082.97</v>
      </c>
      <c r="D6" s="7" t="n">
        <v>0</v>
      </c>
      <c r="E6" s="27" t="n">
        <v>0.074</v>
      </c>
      <c r="F6" s="17" t="n">
        <f aca="false">C6*E6</f>
        <v>53360.13978</v>
      </c>
      <c r="G6" s="7" t="n">
        <v>0</v>
      </c>
      <c r="H6" s="17" t="n">
        <f aca="false">520000/5+180000/5</f>
        <v>140000</v>
      </c>
      <c r="I6" s="17" t="n">
        <f aca="false">G4+G5</f>
        <v>21082.97</v>
      </c>
      <c r="J6" s="17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J6</f>
        <v>560000</v>
      </c>
      <c r="D7" s="7" t="n">
        <v>0</v>
      </c>
      <c r="E7" s="27" t="n">
        <v>0.074</v>
      </c>
      <c r="F7" s="17" t="n">
        <f aca="false">C7*E7</f>
        <v>41440</v>
      </c>
      <c r="G7" s="7" t="n">
        <v>0</v>
      </c>
      <c r="H7" s="17" t="n">
        <f aca="false">140000</f>
        <v>140000</v>
      </c>
      <c r="I7" s="7" t="n">
        <v>0</v>
      </c>
      <c r="J7" s="17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J7</f>
        <v>420000</v>
      </c>
      <c r="D8" s="7" t="n">
        <v>0</v>
      </c>
      <c r="E8" s="27" t="n">
        <v>0.074</v>
      </c>
      <c r="F8" s="17" t="n">
        <f aca="false">C8*E8</f>
        <v>31080</v>
      </c>
      <c r="G8" s="7" t="n">
        <v>0</v>
      </c>
      <c r="H8" s="17" t="n">
        <f aca="false">140000</f>
        <v>140000</v>
      </c>
      <c r="I8" s="7" t="n">
        <v>0</v>
      </c>
      <c r="J8" s="17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J8</f>
        <v>280000</v>
      </c>
      <c r="D9" s="7" t="n">
        <v>0</v>
      </c>
      <c r="E9" s="27" t="n">
        <v>0.074</v>
      </c>
      <c r="F9" s="17" t="n">
        <f aca="false">C9*E9</f>
        <v>20720</v>
      </c>
      <c r="G9" s="7" t="n">
        <v>0</v>
      </c>
      <c r="H9" s="17" t="n">
        <f aca="false">140000</f>
        <v>140000</v>
      </c>
      <c r="I9" s="7" t="n">
        <v>0</v>
      </c>
      <c r="J9" s="17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J9</f>
        <v>140000</v>
      </c>
      <c r="D10" s="7" t="n">
        <v>0</v>
      </c>
      <c r="E10" s="27" t="n">
        <v>0.074</v>
      </c>
      <c r="F10" s="17" t="n">
        <f aca="false">C10*E10</f>
        <v>10360</v>
      </c>
      <c r="G10" s="7" t="n">
        <v>0</v>
      </c>
      <c r="H10" s="17" t="n">
        <f aca="false">140000</f>
        <v>140000</v>
      </c>
      <c r="I10" s="7" t="n">
        <v>0</v>
      </c>
      <c r="J10" s="17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8" t="n">
        <f aca="false">SUM(B4:B8)</f>
        <v>50</v>
      </c>
      <c r="C9" s="28" t="n">
        <f aca="false">SUM(C4:C8)</f>
        <v>380</v>
      </c>
      <c r="D9" s="28" t="n">
        <f aca="false">SUM(D4:D8)</f>
        <v>1140</v>
      </c>
      <c r="E9" s="28" t="n">
        <f aca="false">SUM(E4:E8)</f>
        <v>2800</v>
      </c>
      <c r="F9" s="28" t="n">
        <f aca="false">SUM(F4:F8)</f>
        <v>5300</v>
      </c>
      <c r="G9" s="28" t="n">
        <f aca="false">SUM(G4:G8)</f>
        <v>9050</v>
      </c>
      <c r="H9" s="28" t="n">
        <f aca="false">SUM(H4:H8)</f>
        <v>14450</v>
      </c>
    </row>
    <row r="11" customFormat="false" ht="15" hidden="false" customHeight="true" outlineLevel="0" collapsed="false">
      <c r="A11" s="29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0" t="n">
        <f aca="false">SUM(B12:B14)</f>
        <v>60</v>
      </c>
      <c r="C15" s="30" t="n">
        <f aca="false">SUM(C12:C14)</f>
        <v>103</v>
      </c>
      <c r="D15" s="30" t="n">
        <f aca="false">SUM(D12:D14)</f>
        <v>185</v>
      </c>
      <c r="E15" s="30" t="n">
        <f aca="false">SUM(E12:E14)</f>
        <v>345</v>
      </c>
      <c r="F15" s="30" t="n">
        <f aca="false">SUM(F12:F14)</f>
        <v>625</v>
      </c>
      <c r="G15" s="30" t="n">
        <f aca="false">SUM(G12:G14)</f>
        <v>1010</v>
      </c>
      <c r="H15" s="30" t="n">
        <f aca="false">SUM(H12:H14)</f>
        <v>1540</v>
      </c>
    </row>
    <row r="17" customFormat="false" ht="15" hidden="false" customHeight="true" outlineLevel="0" collapsed="false">
      <c r="A17" s="31" t="s">
        <v>155</v>
      </c>
      <c r="B17" s="32" t="n">
        <f aca="false">B9-B15</f>
        <v>-10</v>
      </c>
      <c r="C17" s="32" t="n">
        <f aca="false">C9-C15</f>
        <v>277</v>
      </c>
      <c r="D17" s="32" t="n">
        <f aca="false">D9-D15</f>
        <v>955</v>
      </c>
      <c r="E17" s="32" t="n">
        <f aca="false">E9-E15</f>
        <v>2455</v>
      </c>
      <c r="F17" s="32" t="n">
        <f aca="false">F9-F15</f>
        <v>4675</v>
      </c>
      <c r="G17" s="32" t="n">
        <f aca="false">G9-G15</f>
        <v>8040</v>
      </c>
      <c r="H17" s="32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3" t="str">
        <f aca="false">IF(B9&lt;500,"n/m",B17/B9)</f>
        <v>n/m</v>
      </c>
      <c r="C18" s="33" t="str">
        <f aca="false">IF(C9&lt;500,"n/m",C17/C9)</f>
        <v>n/m</v>
      </c>
      <c r="D18" s="33" t="n">
        <f aca="false">IF(D9&lt;500,"n/m",D17/D9)</f>
        <v>0.837719298245614</v>
      </c>
      <c r="E18" s="33" t="n">
        <f aca="false">IF(E9&lt;500,"n/m",E17/E9)</f>
        <v>0.876785714285714</v>
      </c>
      <c r="F18" s="33" t="n">
        <f aca="false">IF(F9&lt;500,"n/m",F17/F9)</f>
        <v>0.882075471698113</v>
      </c>
      <c r="G18" s="33" t="n">
        <f aca="false">IF(G9&lt;500,"n/m",G17/G9)</f>
        <v>0.888397790055249</v>
      </c>
      <c r="H18" s="33" t="n">
        <f aca="false">IF(H9&lt;500,"n/m",H17/H9)</f>
        <v>0.893425605536332</v>
      </c>
    </row>
    <row r="20" customFormat="false" ht="15" hidden="false" customHeight="true" outlineLevel="0" collapsed="false">
      <c r="A20" s="29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0" t="n">
        <f aca="false">SUM(B21:B28)</f>
        <v>330</v>
      </c>
      <c r="C29" s="30" t="n">
        <f aca="false">SUM(C21:C28)</f>
        <v>584</v>
      </c>
      <c r="D29" s="30" t="n">
        <f aca="false">SUM(D21:D28)</f>
        <v>903</v>
      </c>
      <c r="E29" s="30" t="n">
        <f aca="false">SUM(E21:E28)</f>
        <v>1452</v>
      </c>
      <c r="F29" s="30" t="n">
        <f aca="false">SUM(F21:F28)</f>
        <v>2128</v>
      </c>
      <c r="G29" s="30" t="n">
        <f aca="false">SUM(G21:G28)</f>
        <v>2882</v>
      </c>
      <c r="H29" s="30" t="n">
        <f aca="false">SUM(H21:H28)</f>
        <v>3698</v>
      </c>
    </row>
    <row r="31" customFormat="false" ht="15" hidden="false" customHeight="true" outlineLevel="0" collapsed="false">
      <c r="A31" s="31" t="s">
        <v>167</v>
      </c>
      <c r="B31" s="32" t="n">
        <f aca="false">B17-B29</f>
        <v>-340</v>
      </c>
      <c r="C31" s="32" t="n">
        <f aca="false">C17-C29</f>
        <v>-307</v>
      </c>
      <c r="D31" s="32" t="n">
        <f aca="false">D17-D29</f>
        <v>52</v>
      </c>
      <c r="E31" s="32" t="n">
        <f aca="false">E17-E29</f>
        <v>1003</v>
      </c>
      <c r="F31" s="32" t="n">
        <f aca="false">F17-F29</f>
        <v>2547</v>
      </c>
      <c r="G31" s="32" t="n">
        <f aca="false">G17-G29</f>
        <v>5158</v>
      </c>
      <c r="H31" s="32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3" t="str">
        <f aca="false">IF(B9&lt;500,"n/m",B31/B9)</f>
        <v>n/m</v>
      </c>
      <c r="C32" s="33" t="str">
        <f aca="false">IF(C9&lt;500,"n/m",C31/C9)</f>
        <v>n/m</v>
      </c>
      <c r="D32" s="33" t="n">
        <f aca="false">IF(D9&lt;500,"n/m",D31/D9)</f>
        <v>0.0456140350877193</v>
      </c>
      <c r="E32" s="33" t="n">
        <f aca="false">IF(E9&lt;500,"n/m",E31/E9)</f>
        <v>0.358214285714286</v>
      </c>
      <c r="F32" s="33" t="n">
        <f aca="false">IF(F9&lt;500,"n/m",F31/F9)</f>
        <v>0.480566037735849</v>
      </c>
      <c r="G32" s="33" t="n">
        <f aca="false">IF(G9&lt;500,"n/m",G31/G9)</f>
        <v>0.569944751381216</v>
      </c>
      <c r="H32" s="33" t="n">
        <f aca="false">IF(H9&lt;500,"n/m",H31/H9)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0" t="n">
        <f aca="false">B31-B34</f>
        <v>-350</v>
      </c>
      <c r="C35" s="30" t="n">
        <f aca="false">C31-C34</f>
        <v>-337</v>
      </c>
      <c r="D35" s="30" t="n">
        <f aca="false">D31-D34</f>
        <v>-8</v>
      </c>
      <c r="E35" s="30" t="n">
        <f aca="false">E31-E34</f>
        <v>913</v>
      </c>
      <c r="F35" s="30" t="n">
        <f aca="false">F31-F34</f>
        <v>2427</v>
      </c>
      <c r="G35" s="30" t="n">
        <f aca="false">G31-G34</f>
        <v>5008</v>
      </c>
      <c r="H35" s="30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('3_Interest_Repayment'!F4+'3_Interest_Repayment'!G4)/1000</f>
        <v>19.24</v>
      </c>
      <c r="C36" s="35" t="n">
        <f aca="false">('3_Interest_Repayment'!F5+'3_Interest_Repayment'!G5)/1000</f>
        <v>22.92594</v>
      </c>
      <c r="D36" s="35" t="n">
        <f aca="false">('3_Interest_Repayment'!F6+'3_Interest_Repayment'!G6)/1000</f>
        <v>53.36013978</v>
      </c>
      <c r="E36" s="35" t="n">
        <f aca="false">('3_Interest_Repayment'!F7+'3_Interest_Repayment'!G7)/1000</f>
        <v>41.44</v>
      </c>
      <c r="F36" s="35" t="n">
        <f aca="false">('3_Interest_Repayment'!F8+'3_Interest_Repayment'!G8)/1000</f>
        <v>31.08</v>
      </c>
      <c r="G36" s="35" t="n">
        <f aca="false">('3_Interest_Repayment'!F9+'3_Interest_Repayment'!G9)/1000</f>
        <v>20.72</v>
      </c>
      <c r="H36" s="35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0" t="n">
        <f aca="false">B35-B36</f>
        <v>-369.24</v>
      </c>
      <c r="C37" s="30" t="n">
        <f aca="false">C35-C36</f>
        <v>-359.92594</v>
      </c>
      <c r="D37" s="30" t="n">
        <f aca="false">D35-D36</f>
        <v>-61.36013978</v>
      </c>
      <c r="E37" s="30" t="n">
        <f aca="false">E35-E36</f>
        <v>871.56</v>
      </c>
      <c r="F37" s="30" t="n">
        <f aca="false">F35-F36</f>
        <v>2395.92</v>
      </c>
      <c r="G37" s="30" t="n">
        <f aca="false">G35-G36</f>
        <v>4987.28</v>
      </c>
      <c r="H37" s="30" t="n">
        <f aca="false">H35-H36</f>
        <v>9021.64</v>
      </c>
    </row>
    <row r="38" customFormat="false" ht="15" hidden="false" customHeight="true" outlineLevel="0" collapsed="false">
      <c r="A38" s="34" t="s">
        <v>173</v>
      </c>
      <c r="B38" s="36" t="n">
        <f aca="false">-B21*0.15</f>
        <v>-16.5</v>
      </c>
      <c r="C38" s="36" t="n">
        <f aca="false">-C21*0.15</f>
        <v>-34.5</v>
      </c>
      <c r="D38" s="36" t="n">
        <f aca="false">-D21*0.15</f>
        <v>-52.5</v>
      </c>
      <c r="E38" s="36" t="n">
        <f aca="false">MAX(0,E37-MAX(0,-(B37-B38+C37-C38+D37-D38)))*0.25</f>
        <v>46.133480055</v>
      </c>
      <c r="F38" s="36" t="n">
        <f aca="false">MAX(0,F37-MAX(0,-(B37-B38+C37-C38+D37-D38)-E37))*0.25</f>
        <v>598.98</v>
      </c>
      <c r="G38" s="36" t="n">
        <f aca="false">G37*0.25</f>
        <v>1246.82</v>
      </c>
      <c r="H38" s="36" t="n">
        <f aca="false">H37*0.25</f>
        <v>2255.41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-352.74</v>
      </c>
      <c r="C39" s="37" t="n">
        <f aca="false">C37-C38</f>
        <v>-325.42594</v>
      </c>
      <c r="D39" s="37" t="n">
        <f aca="false">D37-D38</f>
        <v>-8.86013978</v>
      </c>
      <c r="E39" s="37" t="n">
        <f aca="false">E37-E38</f>
        <v>825.426519945</v>
      </c>
      <c r="F39" s="37" t="n">
        <f aca="false">F37-F38</f>
        <v>1796.94</v>
      </c>
      <c r="G39" s="37" t="n">
        <f aca="false">G37-G38</f>
        <v>3740.46</v>
      </c>
      <c r="H39" s="37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16.5</v>
      </c>
      <c r="C7" s="35" t="n">
        <f aca="false">-'4_PnL_Forecast'!C38</f>
        <v>34.5</v>
      </c>
      <c r="D7" s="35" t="n">
        <f aca="false">-'4_PnL_Forecast'!D38</f>
        <v>52.5</v>
      </c>
      <c r="E7" s="35" t="n">
        <f aca="false">-'4_PnL_Forecast'!E38</f>
        <v>-46.133480055</v>
      </c>
      <c r="F7" s="35" t="n">
        <f aca="false">-'4_PnL_Forecast'!F38</f>
        <v>-598.98</v>
      </c>
      <c r="G7" s="35" t="n">
        <f aca="false">-'4_PnL_Forecast'!G38</f>
        <v>-1246.82</v>
      </c>
      <c r="H7" s="35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28" t="n">
        <f aca="false">B5+B6+B7</f>
        <v>-333.5</v>
      </c>
      <c r="C8" s="28" t="n">
        <f aca="false">C5+C6+C7</f>
        <v>-297.5</v>
      </c>
      <c r="D8" s="28" t="n">
        <f aca="false">D5+D6+D7</f>
        <v>54.5</v>
      </c>
      <c r="E8" s="28" t="n">
        <f aca="false">E5+E6+E7</f>
        <v>871.866519945</v>
      </c>
      <c r="F8" s="28" t="n">
        <f aca="false">F5+F6+F7</f>
        <v>1808.02</v>
      </c>
      <c r="G8" s="28" t="n">
        <f aca="false">G5+G6+G7</f>
        <v>3711.18</v>
      </c>
      <c r="H8" s="28" t="n">
        <f aca="false">H5+H6+H7</f>
        <v>6686.59</v>
      </c>
    </row>
    <row r="10" customFormat="false" ht="15" hidden="false" customHeight="true" outlineLevel="0" collapsed="false">
      <c r="A10" s="29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0" t="n">
        <f aca="false">B11</f>
        <v>-60</v>
      </c>
      <c r="C12" s="30" t="n">
        <f aca="false">C11</f>
        <v>-50</v>
      </c>
      <c r="D12" s="30" t="n">
        <f aca="false">D11</f>
        <v>-45</v>
      </c>
      <c r="E12" s="30" t="n">
        <f aca="false">E11</f>
        <v>-65</v>
      </c>
      <c r="F12" s="30" t="n">
        <f aca="false">F11</f>
        <v>-85</v>
      </c>
      <c r="G12" s="30" t="n">
        <f aca="false">G11</f>
        <v>-110</v>
      </c>
      <c r="H12" s="30" t="n">
        <f aca="false">H11</f>
        <v>-150</v>
      </c>
    </row>
    <row r="14" customFormat="false" ht="15" hidden="false" customHeight="true" outlineLevel="0" collapsed="false">
      <c r="A14" s="29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-'3_Interest_Repayment'!H4/1000</f>
        <v>-0</v>
      </c>
      <c r="C16" s="35" t="n">
        <f aca="false">-'3_Interest_Repayment'!H5/1000</f>
        <v>-0</v>
      </c>
      <c r="D16" s="35" t="n">
        <f aca="false">-'3_Interest_Repayment'!H6/1000</f>
        <v>-140</v>
      </c>
      <c r="E16" s="35" t="n">
        <f aca="false">-'3_Interest_Repayment'!H7/1000</f>
        <v>-140</v>
      </c>
      <c r="F16" s="35" t="n">
        <f aca="false">-'3_Interest_Repayment'!H8/1000</f>
        <v>-140</v>
      </c>
      <c r="G16" s="35" t="n">
        <f aca="false">-'3_Interest_Repayment'!H9/1000</f>
        <v>-140</v>
      </c>
      <c r="H16" s="35" t="n">
        <f aca="false">-'3_Interest_Repayment'!H10/1000</f>
        <v>-140</v>
      </c>
    </row>
    <row r="17" customFormat="false" ht="15" hidden="false" customHeight="true" outlineLevel="0" collapsed="false">
      <c r="A17" s="34" t="s">
        <v>187</v>
      </c>
      <c r="B17" s="35" t="n">
        <f aca="false">-('3_Interest_Repayment'!F4+'3_Interest_Repayment'!I4)/1000</f>
        <v>-9.62</v>
      </c>
      <c r="C17" s="35" t="n">
        <f aca="false">-('3_Interest_Repayment'!F5+'3_Interest_Repayment'!I5)/1000</f>
        <v>-11.46297</v>
      </c>
      <c r="D17" s="35" t="n">
        <f aca="false">-('3_Interest_Repayment'!F6+'3_Interest_Repayment'!I6)/1000</f>
        <v>-74.44310978</v>
      </c>
      <c r="E17" s="35" t="n">
        <f aca="false">-('3_Interest_Repayment'!F7+'3_Interest_Repayment'!I7)/1000</f>
        <v>-41.44</v>
      </c>
      <c r="F17" s="35" t="n">
        <f aca="false">-('3_Interest_Repayment'!F8+'3_Interest_Repayment'!I8)/1000</f>
        <v>-31.08</v>
      </c>
      <c r="G17" s="35" t="n">
        <f aca="false">-('3_Interest_Repayment'!F9+'3_Interest_Repayment'!I9)/1000</f>
        <v>-20.72</v>
      </c>
      <c r="H17" s="35" t="n">
        <f aca="false">-('3_Interest_Repayment'!F10+'3_Interest_Repayment'!I10)/1000</f>
        <v>-10.36</v>
      </c>
    </row>
    <row r="18" customFormat="false" ht="15" hidden="false" customHeight="true" outlineLevel="0" collapsed="false">
      <c r="A18" s="34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0" t="n">
        <f aca="false">B15+B16+B17+B18</f>
        <v>510.38</v>
      </c>
      <c r="C19" s="30" t="n">
        <f aca="false">C15+C16+C17+C18</f>
        <v>1168.53703</v>
      </c>
      <c r="D19" s="30" t="n">
        <f aca="false">D15+D16+D17+D18</f>
        <v>-214.44310978</v>
      </c>
      <c r="E19" s="30" t="n">
        <f aca="false">E15+E16+E17+E18</f>
        <v>-181.44</v>
      </c>
      <c r="F19" s="30" t="n">
        <f aca="false">F15+F16+F17+F18</f>
        <v>-171.08</v>
      </c>
      <c r="G19" s="30" t="n">
        <f aca="false">G15+G16+G17+G18</f>
        <v>-160.72</v>
      </c>
      <c r="H19" s="30" t="n">
        <f aca="false">H15+H16+H17+H18</f>
        <v>-150.36</v>
      </c>
    </row>
    <row r="21" customFormat="false" ht="15" hidden="false" customHeight="true" outlineLevel="0" collapsed="false">
      <c r="A21" s="31" t="s">
        <v>190</v>
      </c>
      <c r="B21" s="32" t="n">
        <f aca="false">B8+B12+B19</f>
        <v>116.88</v>
      </c>
      <c r="C21" s="32" t="n">
        <f aca="false">C8+C12+C19</f>
        <v>821.03703</v>
      </c>
      <c r="D21" s="32" t="n">
        <f aca="false">D8+D12+D19</f>
        <v>-204.94310978</v>
      </c>
      <c r="E21" s="32" t="n">
        <f aca="false">E8+E12+E19</f>
        <v>625.426519945</v>
      </c>
      <c r="F21" s="32" t="n">
        <f aca="false">F8+F12+F19</f>
        <v>1551.94</v>
      </c>
      <c r="G21" s="32" t="n">
        <f aca="false">G8+G12+G19</f>
        <v>3440.46</v>
      </c>
      <c r="H21" s="32" t="n">
        <f aca="false">H8+H12+H19</f>
        <v>6386.23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116.88</v>
      </c>
      <c r="D22" s="36" t="n">
        <f aca="false">C23</f>
        <v>937.91703</v>
      </c>
      <c r="E22" s="36" t="n">
        <f aca="false">D23</f>
        <v>732.97392022</v>
      </c>
      <c r="F22" s="36" t="n">
        <f aca="false">E23</f>
        <v>1358.400440165</v>
      </c>
      <c r="G22" s="36" t="n">
        <f aca="false">F23</f>
        <v>2910.340440165</v>
      </c>
      <c r="H22" s="36" t="n">
        <f aca="false">G23</f>
        <v>6350.800440165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116.88</v>
      </c>
      <c r="C23" s="37" t="n">
        <f aca="false">C22+C21</f>
        <v>937.91703</v>
      </c>
      <c r="D23" s="37" t="n">
        <f aca="false">D22+D21</f>
        <v>732.97392022</v>
      </c>
      <c r="E23" s="37" t="n">
        <f aca="false">E22+E21</f>
        <v>1358.400440165</v>
      </c>
      <c r="F23" s="37" t="n">
        <f aca="false">F22+F21</f>
        <v>2910.340440165</v>
      </c>
      <c r="G23" s="37" t="n">
        <f aca="false">G22+G21</f>
        <v>6350.800440165</v>
      </c>
      <c r="H23" s="37" t="n">
        <f aca="false">H22+H21</f>
        <v>12737.030440165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116.88</v>
      </c>
      <c r="C5" s="35" t="n">
        <f aca="false">'5_Cashflow'!C23</f>
        <v>937.91703</v>
      </c>
      <c r="D5" s="35" t="n">
        <f aca="false">'5_Cashflow'!D23</f>
        <v>732.97392022</v>
      </c>
      <c r="E5" s="35" t="n">
        <f aca="false">'5_Cashflow'!E23</f>
        <v>1358.400440165</v>
      </c>
      <c r="F5" s="35" t="n">
        <f aca="false">'5_Cashflow'!F23</f>
        <v>2910.340440165</v>
      </c>
      <c r="G5" s="35" t="n">
        <f aca="false">'5_Cashflow'!G23</f>
        <v>6350.800440165</v>
      </c>
      <c r="H5" s="35" t="n">
        <f aca="false">'5_Cashflow'!H23</f>
        <v>12737.030440165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8" t="n">
        <f aca="false">SUM(B5:B7)</f>
        <v>146.88</v>
      </c>
      <c r="C8" s="28" t="n">
        <f aca="false">SUM(C5:C7)</f>
        <v>1002.91703</v>
      </c>
      <c r="D8" s="28" t="n">
        <f aca="false">SUM(D5:D7)</f>
        <v>867.97392022</v>
      </c>
      <c r="E8" s="28" t="n">
        <f aca="false">SUM(E5:E7)</f>
        <v>1608.400440165</v>
      </c>
      <c r="F8" s="28" t="n">
        <f aca="false">SUM(F5:F7)</f>
        <v>3340.340440165</v>
      </c>
      <c r="G8" s="28" t="n">
        <f aca="false">SUM(G5:G7)</f>
        <v>7020.800440165</v>
      </c>
      <c r="H8" s="28" t="n">
        <f aca="false">SUM(H5:H7)</f>
        <v>13727.030440165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8" t="n">
        <f aca="false">B9+B10</f>
        <v>130</v>
      </c>
      <c r="C11" s="28" t="n">
        <f aca="false">C9+C10</f>
        <v>260</v>
      </c>
      <c r="D11" s="28" t="n">
        <f aca="false">D9+D10</f>
        <v>400</v>
      </c>
      <c r="E11" s="28" t="n">
        <f aca="false">E9+E10</f>
        <v>570</v>
      </c>
      <c r="F11" s="28" t="n">
        <f aca="false">F9+F10</f>
        <v>770</v>
      </c>
      <c r="G11" s="28" t="n">
        <f aca="false">G9+G10</f>
        <v>1010</v>
      </c>
      <c r="H11" s="28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276.88</v>
      </c>
      <c r="C12" s="37" t="n">
        <f aca="false">C8+C11</f>
        <v>1262.91703</v>
      </c>
      <c r="D12" s="37" t="n">
        <f aca="false">D8+D11</f>
        <v>1267.97392022</v>
      </c>
      <c r="E12" s="37" t="n">
        <f aca="false">E8+E11</f>
        <v>2178.400440165</v>
      </c>
      <c r="F12" s="37" t="n">
        <f aca="false">F8+F11</f>
        <v>4110.340440165</v>
      </c>
      <c r="G12" s="37" t="n">
        <f aca="false">G8+G11</f>
        <v>8030.800440165</v>
      </c>
      <c r="H12" s="37" t="n">
        <f aca="false">H8+H11</f>
        <v>15027.030440165</v>
      </c>
    </row>
    <row r="14" customFormat="false" ht="15" hidden="false" customHeight="true" outlineLevel="0" collapsed="false">
      <c r="A14" s="29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MAX(0,'3_Interest_Repayment'!J4/1000)</f>
        <v>529.62</v>
      </c>
      <c r="C19" s="36" t="n">
        <f aca="false">MAX(0,'3_Interest_Repayment'!J5/1000)</f>
        <v>721.08297</v>
      </c>
      <c r="D19" s="36" t="n">
        <f aca="false">MAX(0,'3_Interest_Repayment'!J6/1000)</f>
        <v>560</v>
      </c>
      <c r="E19" s="36" t="n">
        <f aca="false">MAX(0,'3_Interest_Repayment'!J7/1000)</f>
        <v>420</v>
      </c>
      <c r="F19" s="36" t="n">
        <f aca="false">MAX(0,'3_Interest_Repayment'!J8/1000)</f>
        <v>280</v>
      </c>
      <c r="G19" s="36" t="n">
        <f aca="false">MAX(0,'3_Interest_Repayment'!J9/1000)</f>
        <v>140</v>
      </c>
      <c r="H19" s="36" t="n">
        <f aca="false">MAX(0,'3_Interest_Repayment'!J10/1000)</f>
        <v>0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560</v>
      </c>
      <c r="E20" s="40" t="n">
        <f aca="false">E19</f>
        <v>420</v>
      </c>
      <c r="F20" s="40" t="n">
        <f aca="false">F19</f>
        <v>280</v>
      </c>
      <c r="G20" s="40" t="n">
        <f aca="false">G19</f>
        <v>140</v>
      </c>
      <c r="H20" s="40" t="n">
        <f aca="false">H19</f>
        <v>0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628</v>
      </c>
      <c r="E21" s="37" t="n">
        <f aca="false">E18+E20</f>
        <v>530</v>
      </c>
      <c r="F21" s="37" t="n">
        <f aca="false">F18+F20</f>
        <v>450</v>
      </c>
      <c r="G21" s="37" t="n">
        <f aca="false">G18+G20</f>
        <v>390</v>
      </c>
      <c r="H21" s="37" t="n">
        <f aca="false">H18+H20</f>
        <v>360</v>
      </c>
    </row>
    <row r="23" customFormat="false" ht="15" hidden="false" customHeight="true" outlineLevel="0" collapsed="false">
      <c r="A23" s="29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-352.74</v>
      </c>
      <c r="C25" s="36" t="n">
        <f aca="false">B25+'4_PnL_Forecast'!C39</f>
        <v>-678.16594</v>
      </c>
      <c r="D25" s="36" t="n">
        <f aca="false">C25+'4_PnL_Forecast'!D39</f>
        <v>-687.02607978</v>
      </c>
      <c r="E25" s="36" t="n">
        <f aca="false">D25+'4_PnL_Forecast'!E39</f>
        <v>138.400440165</v>
      </c>
      <c r="F25" s="36" t="n">
        <f aca="false">E25+'4_PnL_Forecast'!F39</f>
        <v>1935.340440165</v>
      </c>
      <c r="G25" s="36" t="n">
        <f aca="false">F25+'4_PnL_Forecast'!G39</f>
        <v>5675.800440165</v>
      </c>
      <c r="H25" s="36" t="n">
        <f aca="false">G25+'4_PnL_Forecast'!H39</f>
        <v>12442.030440165</v>
      </c>
    </row>
    <row r="26" customFormat="false" ht="15" hidden="false" customHeight="true" outlineLevel="0" collapsed="false">
      <c r="A26" s="5" t="s">
        <v>214</v>
      </c>
      <c r="B26" s="36" t="n">
        <f aca="false">B12-B21-B24-B25</f>
        <v>-120</v>
      </c>
      <c r="C26" s="36" t="n">
        <f aca="false">C12-C21-C24-C25</f>
        <v>-19.9999999999999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525.000000000001</v>
      </c>
      <c r="G26" s="36" t="n">
        <f aca="false">G12-G21-G24-G25</f>
        <v>765.000000000001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-272.74</v>
      </c>
      <c r="C27" s="37" t="n">
        <f aca="false">C24+C25+C26</f>
        <v>501.83406</v>
      </c>
      <c r="D27" s="37" t="n">
        <f aca="false">D24+D25+D26</f>
        <v>639.97392022</v>
      </c>
      <c r="E27" s="37" t="n">
        <f aca="false">E24+E25+E26</f>
        <v>1648.400440165</v>
      </c>
      <c r="F27" s="37" t="n">
        <f aca="false">F24+F25+F26</f>
        <v>3660.340440165</v>
      </c>
      <c r="G27" s="37" t="n">
        <f aca="false">G24+G25+G26</f>
        <v>7640.800440165</v>
      </c>
      <c r="H27" s="37" t="n">
        <f aca="false">H24+H25+H26</f>
        <v>14667.030440165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276.88</v>
      </c>
      <c r="C29" s="37" t="n">
        <f aca="false">C21+C27</f>
        <v>1262.91703</v>
      </c>
      <c r="D29" s="37" t="n">
        <f aca="false">D21+D27</f>
        <v>1267.97392022</v>
      </c>
      <c r="E29" s="37" t="n">
        <f aca="false">E21+E27</f>
        <v>2178.400440165</v>
      </c>
      <c r="F29" s="37" t="n">
        <f aca="false">F21+F27</f>
        <v>4110.340440165</v>
      </c>
      <c r="G29" s="37" t="n">
        <f aca="false">G21+G27</f>
        <v>8030.800440165</v>
      </c>
      <c r="H29" s="37" t="n">
        <f aca="false">H21+H27</f>
        <v>15027.030440165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7.344</v>
      </c>
      <c r="C32" s="42" t="n">
        <f aca="false">IFERROR(C8/C18,0)</f>
        <v>25.07292575</v>
      </c>
      <c r="D32" s="42" t="n">
        <f aca="false">IFERROR(D8/D18,0)</f>
        <v>12.7643223561765</v>
      </c>
      <c r="E32" s="42" t="n">
        <f aca="false">IFERROR(E8/E18,0)</f>
        <v>14.6218221833182</v>
      </c>
      <c r="F32" s="42" t="n">
        <f aca="false">IFERROR(F8/F18,0)</f>
        <v>19.6490614127353</v>
      </c>
      <c r="G32" s="42" t="n">
        <f aca="false">IFERROR(G8/G18,0)</f>
        <v>28.08320176066</v>
      </c>
      <c r="H32" s="42" t="n">
        <f aca="false">IFERROR(H8/H18,0)</f>
        <v>38.1306401115695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3" t="s">
        <v>223</v>
      </c>
      <c r="C3" s="43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4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4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4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4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4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240</v>
      </c>
      <c r="B14" s="7" t="n">
        <v>700000</v>
      </c>
      <c r="C14" s="44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49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4" t="s">
        <v>247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248</v>
      </c>
      <c r="B5" s="50" t="s">
        <v>249</v>
      </c>
      <c r="C5" s="33" t="n">
        <f aca="false">IFERROR('4_PnL_Forecast'!C9/'4_PnL_Forecast'!B9-1,0)</f>
        <v>6.6</v>
      </c>
      <c r="D5" s="33" t="n">
        <f aca="false">IFERROR('4_PnL_Forecast'!D9/'4_PnL_Forecast'!C9-1,0)</f>
        <v>2</v>
      </c>
      <c r="E5" s="33" t="n">
        <f aca="false">IFERROR('4_PnL_Forecast'!E9/'4_PnL_Forecast'!D9-1,0)</f>
        <v>1.45614035087719</v>
      </c>
      <c r="F5" s="33" t="n">
        <f aca="false">IFERROR('4_PnL_Forecast'!F9/'4_PnL_Forecast'!E9-1,0)</f>
        <v>0.892857142857143</v>
      </c>
      <c r="G5" s="33" t="n">
        <f aca="false">IFERROR('4_PnL_Forecast'!G9/'4_PnL_Forecast'!F9-1,0)</f>
        <v>0.707547169811321</v>
      </c>
      <c r="H5" s="33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33" t="n">
        <f aca="false">IFERROR('4_PnL_Forecast'!B17/'4_PnL_Forecast'!B9,0)</f>
        <v>-0.2</v>
      </c>
      <c r="C6" s="33" t="n">
        <f aca="false">IFERROR('4_PnL_Forecast'!C17/'4_PnL_Forecast'!C9,0)</f>
        <v>0.728947368421053</v>
      </c>
      <c r="D6" s="33" t="n">
        <f aca="false">IFERROR('4_PnL_Forecast'!D17/'4_PnL_Forecast'!D9,0)</f>
        <v>0.837719298245614</v>
      </c>
      <c r="E6" s="33" t="n">
        <f aca="false">IFERROR('4_PnL_Forecast'!E17/'4_PnL_Forecast'!E9,0)</f>
        <v>0.876785714285714</v>
      </c>
      <c r="F6" s="33" t="n">
        <f aca="false">IFERROR('4_PnL_Forecast'!F17/'4_PnL_Forecast'!F9,0)</f>
        <v>0.882075471698113</v>
      </c>
      <c r="G6" s="33" t="n">
        <f aca="false">IFERROR('4_PnL_Forecast'!G17/'4_PnL_Forecast'!G9,0)</f>
        <v>0.888397790055249</v>
      </c>
      <c r="H6" s="33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168</v>
      </c>
      <c r="B7" s="33" t="n">
        <f aca="false">IFERROR('4_PnL_Forecast'!B31/'4_PnL_Forecast'!B9,0)</f>
        <v>-6.8</v>
      </c>
      <c r="C7" s="33" t="n">
        <f aca="false">IFERROR('4_PnL_Forecast'!C31/'4_PnL_Forecast'!C9,0)</f>
        <v>-0.807894736842105</v>
      </c>
      <c r="D7" s="33" t="n">
        <f aca="false">IFERROR('4_PnL_Forecast'!D31/'4_PnL_Forecast'!D9,0)</f>
        <v>0.0456140350877193</v>
      </c>
      <c r="E7" s="33" t="n">
        <f aca="false">IFERROR('4_PnL_Forecast'!E31/'4_PnL_Forecast'!E9,0)</f>
        <v>0.358214285714286</v>
      </c>
      <c r="F7" s="33" t="n">
        <f aca="false">IFERROR('4_PnL_Forecast'!F31/'4_PnL_Forecast'!F9,0)</f>
        <v>0.480566037735849</v>
      </c>
      <c r="G7" s="33" t="n">
        <f aca="false">IFERROR('4_PnL_Forecast'!G31/'4_PnL_Forecast'!G9,0)</f>
        <v>0.569944751381216</v>
      </c>
      <c r="H7" s="33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250</v>
      </c>
      <c r="B8" s="35" t="n">
        <f aca="false">'5_Cashflow'!B23</f>
        <v>116.88</v>
      </c>
      <c r="C8" s="35" t="n">
        <f aca="false">'5_Cashflow'!C23</f>
        <v>937.91703</v>
      </c>
      <c r="D8" s="35" t="n">
        <f aca="false">'5_Cashflow'!D23</f>
        <v>732.97392022</v>
      </c>
      <c r="E8" s="35" t="n">
        <f aca="false">'5_Cashflow'!E23</f>
        <v>1358.400440165</v>
      </c>
      <c r="F8" s="35" t="n">
        <f aca="false">'5_Cashflow'!F23</f>
        <v>2910.340440165</v>
      </c>
      <c r="G8" s="35" t="n">
        <f aca="false">'5_Cashflow'!G23</f>
        <v>6350.800440165</v>
      </c>
      <c r="H8" s="35" t="n">
        <f aca="false">'5_Cashflow'!H23</f>
        <v>12737.030440165</v>
      </c>
    </row>
    <row r="9" customFormat="false" ht="15" hidden="false" customHeight="true" outlineLevel="0" collapsed="false">
      <c r="A9" s="51" t="s">
        <v>251</v>
      </c>
      <c r="B9" s="52" t="n">
        <f aca="false">'6_Balance_Sheet'!B32</f>
        <v>7.344</v>
      </c>
      <c r="C9" s="52" t="n">
        <f aca="false">'6_Balance_Sheet'!C32</f>
        <v>25.07292575</v>
      </c>
      <c r="D9" s="52" t="n">
        <f aca="false">'6_Balance_Sheet'!D32</f>
        <v>12.7643223561765</v>
      </c>
      <c r="E9" s="52" t="n">
        <f aca="false">'6_Balance_Sheet'!E32</f>
        <v>14.6218221833182</v>
      </c>
      <c r="F9" s="52" t="n">
        <f aca="false">'6_Balance_Sheet'!F32</f>
        <v>19.6490614127353</v>
      </c>
      <c r="G9" s="52" t="n">
        <f aca="false">'6_Balance_Sheet'!G32</f>
        <v>28.08320176066</v>
      </c>
      <c r="H9" s="52" t="n">
        <f aca="false">'6_Balance_Sheet'!H32</f>
        <v>38.1306401115695</v>
      </c>
    </row>
    <row r="10" customFormat="false" ht="15" hidden="false" customHeight="true" outlineLevel="0" collapsed="false">
      <c r="A10" s="34" t="s">
        <v>252</v>
      </c>
      <c r="B10" s="53" t="n">
        <f aca="false">IFERROR('4_PnL_Forecast'!B31/MAX(1,('3_Interest_Repayment'!H4+'3_Interest_Repayment'!F4+'3_Interest_Repayment'!I4)/1000),0)</f>
        <v>-35.3430353430353</v>
      </c>
      <c r="C10" s="53" t="n">
        <f aca="false">IFERROR('4_PnL_Forecast'!C31/MAX(1,('3_Interest_Repayment'!H5+'3_Interest_Repayment'!F5+'3_Interest_Repayment'!I5)/1000),0)</f>
        <v>-26.7818898592599</v>
      </c>
      <c r="D10" s="53" t="n">
        <f aca="false">IFERROR('4_PnL_Forecast'!D31/MAX(1,('3_Interest_Repayment'!H6+'3_Interest_Repayment'!F6+'3_Interest_Repayment'!I6)/1000),0)</f>
        <v>0.242488555838178</v>
      </c>
      <c r="E10" s="53" t="n">
        <f aca="false">IFERROR('4_PnL_Forecast'!E31/MAX(1,('3_Interest_Repayment'!H7+'3_Interest_Repayment'!F7+'3_Interest_Repayment'!I7)/1000),0)</f>
        <v>5.52799823633157</v>
      </c>
      <c r="F10" s="53" t="n">
        <f aca="false">IFERROR('4_PnL_Forecast'!F31/MAX(1,('3_Interest_Repayment'!H8+'3_Interest_Repayment'!F8+'3_Interest_Repayment'!I8)/1000),0)</f>
        <v>14.8877718026654</v>
      </c>
      <c r="G10" s="53" t="n">
        <f aca="false">IFERROR('4_PnL_Forecast'!G31/MAX(1,('3_Interest_Repayment'!H9+'3_Interest_Repayment'!F9+'3_Interest_Repayment'!I9)/1000),0)</f>
        <v>32.093081134893</v>
      </c>
      <c r="H10" s="53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253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254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255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256</v>
      </c>
      <c r="B15" s="30" t="n">
        <f aca="false">B14-'4_PnL_Forecast'!B29</f>
        <v>-337</v>
      </c>
      <c r="C15" s="30" t="n">
        <f aca="false">C14-'4_PnL_Forecast'!C29</f>
        <v>-390.1</v>
      </c>
      <c r="D15" s="30" t="n">
        <f aca="false">D14-'4_PnL_Forecast'!D29</f>
        <v>-234.5</v>
      </c>
      <c r="E15" s="30" t="n">
        <f aca="false">E14-'4_PnL_Forecast'!E29</f>
        <v>266.5</v>
      </c>
      <c r="F15" s="30" t="n">
        <f aca="false">F14-'4_PnL_Forecast'!F29</f>
        <v>1144.5</v>
      </c>
      <c r="G15" s="30" t="n">
        <f aca="false">G14-'4_PnL_Forecast'!G29</f>
        <v>2746</v>
      </c>
      <c r="H15" s="30" t="n">
        <f aca="false">H14-'4_PnL_Forecast'!H29</f>
        <v>5339</v>
      </c>
    </row>
    <row r="16" customFormat="false" ht="15" hidden="false" customHeight="true" outlineLevel="0" collapsed="false">
      <c r="A16" s="3" t="s">
        <v>257</v>
      </c>
      <c r="B16" s="54" t="n">
        <f aca="false">IFERROR(B15/MAX(1,('3_Interest_Repayment'!H4+'3_Interest_Repayment'!F4+'3_Interest_Repayment'!I4)/1000),0)</f>
        <v>-35.031185031185</v>
      </c>
      <c r="C16" s="54" t="n">
        <f aca="false">IFERROR(C15/MAX(1,('3_Interest_Repayment'!H5+'3_Interest_Repayment'!F5+'3_Interest_Repayment'!I5)/1000),0)</f>
        <v>-34.0313199807729</v>
      </c>
      <c r="D16" s="54" t="n">
        <f aca="false">IFERROR(D15/MAX(1,('3_Interest_Repayment'!H6+'3_Interest_Repayment'!F6+'3_Interest_Repayment'!I6)/1000),0)</f>
        <v>-1.09353012200101</v>
      </c>
      <c r="E16" s="54" t="n">
        <f aca="false">IFERROR(E15/MAX(1,('3_Interest_Repayment'!H7+'3_Interest_Repayment'!F7+'3_Interest_Repayment'!I7)/1000),0)</f>
        <v>1.46880511463845</v>
      </c>
      <c r="F16" s="54" t="n">
        <f aca="false">IFERROR(F15/MAX(1,('3_Interest_Repayment'!H8+'3_Interest_Repayment'!F8+'3_Interest_Repayment'!I8)/1000),0)</f>
        <v>6.689852700491</v>
      </c>
      <c r="G16" s="54" t="n">
        <f aca="false">IFERROR(G15/MAX(1,('3_Interest_Repayment'!H9+'3_Interest_Repayment'!F9+'3_Interest_Repayment'!I9)/1000),0)</f>
        <v>17.0856147336984</v>
      </c>
      <c r="H16" s="54" t="n">
        <f aca="false">IFERROR(H15/MAX(1,('3_Interest_Repayment'!H10+'3_Interest_Repayment'!F10+'3_Interest_Repayment'!I10)/1000),0)</f>
        <v>35.5081138600692</v>
      </c>
    </row>
    <row r="18" customFormat="false" ht="21.75" hidden="false" customHeight="true" outlineLevel="0" collapsed="false">
      <c r="A18" s="6" t="s">
        <v>258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259</v>
      </c>
      <c r="B19" s="55" t="n">
        <f aca="false">'1_Cover_Assumptions'!B51</f>
        <v>0.119241397584889</v>
      </c>
      <c r="D19" s="11" t="s">
        <v>260</v>
      </c>
    </row>
    <row r="20" customFormat="false" ht="15" hidden="false" customHeight="true" outlineLevel="0" collapsed="false">
      <c r="A20" s="34" t="s">
        <v>261</v>
      </c>
      <c r="B20" s="52" t="n">
        <f aca="false">MIN('6_Balance_Sheet'!B32:H32)</f>
        <v>7.344</v>
      </c>
      <c r="D20" s="11" t="s">
        <v>262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2026-05-09T23:11:29Z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