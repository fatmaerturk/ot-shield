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<sst xmlns="http://schemas.openxmlformats.org/spreadsheetml/2006/main" count="295" uniqueCount="266">
  <si>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</si>
  <si>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</si>
  <si>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</si>
  <si>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</si>
  <si>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</si>
  <si>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</si>
  <si>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</si>
  <si>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</si>
  <si>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</si>
  <si>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</si>
  <si>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</si>
  <si>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</si>
  <si>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</si>
  <si>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</si>
  <si>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</si>
  <si>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</si>
  <si>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</si>
  <si>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</si>
  <si>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</si>
  <si>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</si>
  <si>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</si>
  <si>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</si>
  <si>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</si>
  <si>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</si>
  <si>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</si>
  <si>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</si>
  <si>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</si>
  <si>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</si>
  <si>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</si>
  <si>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</si>
  <si>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</si>
  <si>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</si>
  <si>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</si>
  <si>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</si>
  <si>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</si>
  <si>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</si>
  <si>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</si>
  <si>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</si>
  <si>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</si>
  <si>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</si>
  <si>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</si>
  <si>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</si>
  <si>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</si>
  <si>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</si>
  <si>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</si>
  <si>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</si>
  <si>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</si>
  <si>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</si>
  <si>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</si>
  <si>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</si>
  <si>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</si>
  <si>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</si>
  <si>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</si>
  <si>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</si>
  <si>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</si>
  <si>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</si>
  <si>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</si>
  <si>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</si>
  <si>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</si>
  <si>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</si>
  <si>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</si>
  <si>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</si>
  <si>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</si>
  <si>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</si>
  <si>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</si>
  <si>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</si>
  <si>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</si>
  <si>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</si>
  <si>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</si>
  <si>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</si>
  <si>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</si>
  <si>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</si>
  <si>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</si>
  <si>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</si>
  <si>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</si>
  <si>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</si>
  <si>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</si>
  <si>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</si>
  <si>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</si>
  <si>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</si>
  <si>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</si>
  <si>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</si>
  <si>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</si>
  <si>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</si>
  <si>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</si>
  <si>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</si>
  <si>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</si>
  <si>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</si>
  <si>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</si>
  <si>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</si>
  <si>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</si>
  <si>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</si>
  <si>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</si>
  <si>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</si>
  <si>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</si>
  <si>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</si>
  <si>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</si>
  <si>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</si>
  <si>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</si>
  <si>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</si>
  <si>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</si>
  <si>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</si>
  <si>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</si>
  <si>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</si>
  <si>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</si>
  <si>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</si>
  <si>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</si>
  <si>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</si>
  <si>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</si>
  <si>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</si>
  <si>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</si>
  <si>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</si>
  <si>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</si>
  <si>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</si>
  <si>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</si>
  <si>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</si>
  <si>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</si>
  <si>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</si>
  <si>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</si>
  <si>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</si>
  <si>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</si>
  <si>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</si>
  <si>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</si>
  <si>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</si>
  <si>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</si>
  <si>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</si>
  <si>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</si>
  <si>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</si>
  <si>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</si>
  <si>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</si>
  <si>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</si>
  <si>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</si>
  <si>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</si>
  <si>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</si>
  <si>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</si>
  <si>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</si>
  <si>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</si>
  <si>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</si>
  <si>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</si>
  <si>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</si>
  <si>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</si>
  <si>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</si>
  <si>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</si>
  <si>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</si>
  <si>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</si>
  <si>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</si>
  <si>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</si>
  <si>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</si>
  <si>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</si>
  <si>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</si>
  <si>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</si>
  <si>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</si>
  <si>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</si>
  <si>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</si>
  <si>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</si>
  <si>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</si>
  <si>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</si>
  <si>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</si>
  <si>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</si>
  <si>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</si>
  <si>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</si>
  <si>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</si>
  <si>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</si>
  <si>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</si>
  <si>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</si>
  <si>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</si>
  <si>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</si>
  <si>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</si>
  <si>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</si>
  <si>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</si>
  <si>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</si>
  <si>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</si>
  <si>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</si>
  <si>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</si>
  <si>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</si>
  <si>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</si>
  <si>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</si>
  <si>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</si>
  <si>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</si>
  <si>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</si>
  <si>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</si>
  <si>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</si>
  <si>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</si>
  <si>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</si>
  <si>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</si>
  <si>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</si>
  <si>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</si>
  <si>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</si>
  <si>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</si>
  <si>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</si>
  <si>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</si>
  <si>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</si>
  <si>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</si>
  <si>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</si>
  <si>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</si>
  <si>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</si>
  <si>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</si>
  <si>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</si>
  <si>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</si>
  <si>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</si>
  <si>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</si>
  <si>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</si>
  <si>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</si>
  <si>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</si>
  <si>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</si>
  <si>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</si>
  <si>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</si>
  <si>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</si>
  <si>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</si>
  <si>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</si>
  <si>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</si>
  <si>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</si>
  <si>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</si>
  <si>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</si>
  <si>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(R&amp;D capitalisation, working capital adjustments, IFRS reconciliation)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</si>
  <si>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</si>
  <si>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</si>
  <si>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</si>
  <si>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</si>
  <si>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</si>
  <si>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</si>
  <si>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</si>
  <si>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</si>
  <si>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</si>
  <si>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</si>
  <si>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</si>
  <si>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</si>
  <si>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</si>
  <si>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</si>
  <si>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</si>
  <si>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</si>
  <si>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</si>
  <si>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</si>
  <si>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</si>
  <si>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</si>
  <si>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</si>
  <si>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</si>
  <si>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</si>
  <si>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</si>
  <si>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</si>
  <si>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</si>
  <si>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Loan-to-eligible cost ratio (NOT subsidy intensity); subsidy = GGE per §9.1, est. 12%</t>
  </si>
  <si>
    <t xml:space="preserve">Matched funding (VC follow-on round £1M, soft interest)</t>
  </si>
  <si>
    <t xml:space="preserve">£190K of £1M VC follow-on round; voluntary per Competition Doc §15</t>
  </si>
  <si>
    <t xml:space="preserve">TOTAL PROJECT FINANCING (loan + matched)</t>
  </si>
  <si>
    <t xml:space="preserve">Loan + matched &gt; eligible cost by £9.4K (working capital buffer)</t>
  </si>
  <si>
    <t xml:space="preserve">Subsidy intensity note (per Competition Doc §9.1 + §15):</t>
  </si>
  <si>
    <t xml:space="preserve">Per Competition Document §15 Q&amp;A: 'The subsidy is classed not as the loan amount, but as the benefit in the loan (difference between market rates and 7.4%).' GGE (Gross Grant Equivalent) is auto-calculated by the Innovate UK Qualtrics financial projections tab. Estimated GGE intensity ~12% of eligible cost, well below the 45% small SME cap (Competition Doc §9.1). The loan-to-eligible-cost ratio (79.5%) shown above is NOT the subsidy intensity — it is the proportion of project costs covered by the loan.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</si>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</sst>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str">
        <f aca="false">IF(B9&lt;500,"n/m",B17/B9)</f>
        <v>n/m</v>
      </c>
      <c r="C18" s="33" t="str">
        <f aca="false">IF(C9&lt;500,"n/m",C17/C9)</f>
        <v>n/m</v>
      </c>
      <c r="D18" s="33" t="n">
        <f aca="false">IF(D9&lt;500,"n/m",D17/D9)</f>
        <v>0.837719298245614</v>
      </c>
      <c r="E18" s="33" t="n">
        <f aca="false">IF(E9&lt;500,"n/m",E17/E9)</f>
        <v>0.876785714285714</v>
      </c>
      <c r="F18" s="33" t="n">
        <f aca="false">IF(F9&lt;500,"n/m",F17/F9)</f>
        <v>0.882075471698113</v>
      </c>
      <c r="G18" s="33" t="n">
        <f aca="false">IF(G9&lt;500,"n/m",G17/G9)</f>
        <v>0.888397790055249</v>
      </c>
      <c r="H18" s="33" t="n">
        <f aca="false">IF(H9&lt;500,"n/m",H17/H9)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str">
        <f aca="false">IF(B9&lt;500,"n/m",B31/B9)</f>
        <v>n/m</v>
      </c>
      <c r="C32" s="33" t="str">
        <f aca="false">IF(C9&lt;500,"n/m",C31/C9)</f>
        <v>n/m</v>
      </c>
      <c r="D32" s="33" t="n">
        <f aca="false">IF(D9&lt;500,"n/m",D31/D9)</f>
        <v>0.0456140350877193</v>
      </c>
      <c r="E32" s="33" t="n">
        <f aca="false">IF(E9&lt;500,"n/m",E31/E9)</f>
        <v>0.358214285714286</v>
      </c>
      <c r="F32" s="33" t="n">
        <f aca="false">IF(F9&lt;500,"n/m",F31/F9)</f>
        <v>0.480566037735849</v>
      </c>
      <c r="G32" s="33" t="n">
        <f aca="false">IF(G9&lt;500,"n/m",G31/G9)</f>
        <v>0.569944751381216</v>
      </c>
      <c r="H32" s="33" t="n">
        <f aca="false">IF(H9&lt;500,"n/m",H31/H9)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5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  <c r="C16" s="1" t="n">
        <f aca="false">B16/B12</f>
        <v>1.01071241597743</v>
      </c>
      <c r="D16" s="5" t="s">
        <v>245</v>
      </c>
    </row>
    <row r="18" customFormat="false" ht="15" hidden="false" customHeight="false" outlineLevel="0" collapsed="false">
      <c r="A18" s="50" t="s">
        <v>246</v>
      </c>
    </row>
    <row r="19" customFormat="false" ht="79.5" hidden="false" customHeight="true" outlineLevel="0" collapsed="false">
      <c r="A19" s="22" t="s">
        <v>247</v>
      </c>
      <c r="B19" s="22"/>
      <c r="C19" s="22"/>
      <c r="D19" s="22"/>
      <c r="E19" s="22"/>
      <c r="F19" s="22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249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250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251</v>
      </c>
      <c r="B5" s="51" t="s">
        <v>252</v>
      </c>
      <c r="C5" s="33" t="n">
        <f aca="false">IFERROR('4_PnL_Forecast'!C9/'4_PnL_Forecast'!B9-1,0)</f>
        <v>6.6</v>
      </c>
      <c r="D5" s="33" t="n">
        <f aca="false">IFERROR('4_PnL_Forecast'!D9/'4_PnL_Forecast'!C9-1,0)</f>
        <v>2</v>
      </c>
      <c r="E5" s="33" t="n">
        <f aca="false">IFERROR('4_PnL_Forecast'!E9/'4_PnL_Forecast'!D9-1,0)</f>
        <v>1.45614035087719</v>
      </c>
      <c r="F5" s="33" t="n">
        <f aca="false">IFERROR('4_PnL_Forecast'!F9/'4_PnL_Forecast'!E9-1,0)</f>
        <v>0.892857142857143</v>
      </c>
      <c r="G5" s="33" t="n">
        <f aca="false">IFERROR('4_PnL_Forecast'!G9/'4_PnL_Forecast'!F9-1,0)</f>
        <v>0.707547169811321</v>
      </c>
      <c r="H5" s="33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33" t="n">
        <f aca="false">IFERROR('4_PnL_Forecast'!B17/'4_PnL_Forecast'!B9,0)</f>
        <v>-0.2</v>
      </c>
      <c r="C6" s="33" t="n">
        <f aca="false">IFERROR('4_PnL_Forecast'!C17/'4_PnL_Forecast'!C9,0)</f>
        <v>0.728947368421053</v>
      </c>
      <c r="D6" s="33" t="n">
        <f aca="false">IFERROR('4_PnL_Forecast'!D17/'4_PnL_Forecast'!D9,0)</f>
        <v>0.837719298245614</v>
      </c>
      <c r="E6" s="33" t="n">
        <f aca="false">IFERROR('4_PnL_Forecast'!E17/'4_PnL_Forecast'!E9,0)</f>
        <v>0.876785714285714</v>
      </c>
      <c r="F6" s="33" t="n">
        <f aca="false">IFERROR('4_PnL_Forecast'!F17/'4_PnL_Forecast'!F9,0)</f>
        <v>0.882075471698113</v>
      </c>
      <c r="G6" s="33" t="n">
        <f aca="false">IFERROR('4_PnL_Forecast'!G17/'4_PnL_Forecast'!G9,0)</f>
        <v>0.888397790055249</v>
      </c>
      <c r="H6" s="33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33" t="n">
        <f aca="false">IFERROR('4_PnL_Forecast'!B31/'4_PnL_Forecast'!B9,0)</f>
        <v>-6.8</v>
      </c>
      <c r="C7" s="33" t="n">
        <f aca="false">IFERROR('4_PnL_Forecast'!C31/'4_PnL_Forecast'!C9,0)</f>
        <v>-0.807894736842105</v>
      </c>
      <c r="D7" s="33" t="n">
        <f aca="false">IFERROR('4_PnL_Forecast'!D31/'4_PnL_Forecast'!D9,0)</f>
        <v>0.0456140350877193</v>
      </c>
      <c r="E7" s="33" t="n">
        <f aca="false">IFERROR('4_PnL_Forecast'!E31/'4_PnL_Forecast'!E9,0)</f>
        <v>0.358214285714286</v>
      </c>
      <c r="F7" s="33" t="n">
        <f aca="false">IFERROR('4_PnL_Forecast'!F31/'4_PnL_Forecast'!F9,0)</f>
        <v>0.480566037735849</v>
      </c>
      <c r="G7" s="33" t="n">
        <f aca="false">IFERROR('4_PnL_Forecast'!G31/'4_PnL_Forecast'!G9,0)</f>
        <v>0.569944751381216</v>
      </c>
      <c r="H7" s="33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253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2" t="s">
        <v>254</v>
      </c>
      <c r="B9" s="53" t="n">
        <f aca="false">'6_Balance_Sheet'!B32</f>
        <v>7.344</v>
      </c>
      <c r="C9" s="53" t="n">
        <f aca="false">'6_Balance_Sheet'!C32</f>
        <v>25.07292575</v>
      </c>
      <c r="D9" s="53" t="n">
        <f aca="false">'6_Balance_Sheet'!D32</f>
        <v>12.7643223561765</v>
      </c>
      <c r="E9" s="53" t="n">
        <f aca="false">'6_Balance_Sheet'!E32</f>
        <v>14.6218221833182</v>
      </c>
      <c r="F9" s="53" t="n">
        <f aca="false">'6_Balance_Sheet'!F32</f>
        <v>19.6490614127353</v>
      </c>
      <c r="G9" s="53" t="n">
        <f aca="false">'6_Balance_Sheet'!G32</f>
        <v>28.08320176066</v>
      </c>
      <c r="H9" s="53" t="n">
        <f aca="false">'6_Balance_Sheet'!H32</f>
        <v>38.1306401115695</v>
      </c>
    </row>
    <row r="10" customFormat="false" ht="15" hidden="false" customHeight="true" outlineLevel="0" collapsed="false">
      <c r="A10" s="34" t="s">
        <v>255</v>
      </c>
      <c r="B10" s="54" t="n">
        <f aca="false">IFERROR('4_PnL_Forecast'!B31/MAX(1,('3_Interest_Repayment'!H4+'3_Interest_Repayment'!F4+'3_Interest_Repayment'!I4)/1000),0)</f>
        <v>-35.3430353430353</v>
      </c>
      <c r="C10" s="54" t="n">
        <f aca="false">IFERROR('4_PnL_Forecast'!C31/MAX(1,('3_Interest_Repayment'!H5+'3_Interest_Repayment'!F5+'3_Interest_Repayment'!I5)/1000),0)</f>
        <v>-26.7818898592599</v>
      </c>
      <c r="D10" s="54" t="n">
        <f aca="false">IFERROR('4_PnL_Forecast'!D31/MAX(1,('3_Interest_Repayment'!H6+'3_Interest_Repayment'!F6+'3_Interest_Repayment'!I6)/1000),0)</f>
        <v>0.242488555838178</v>
      </c>
      <c r="E10" s="54" t="n">
        <f aca="false">IFERROR('4_PnL_Forecast'!E31/MAX(1,('3_Interest_Repayment'!H7+'3_Interest_Repayment'!F7+'3_Interest_Repayment'!I7)/1000),0)</f>
        <v>5.52799823633157</v>
      </c>
      <c r="F10" s="54" t="n">
        <f aca="false">IFERROR('4_PnL_Forecast'!F31/MAX(1,('3_Interest_Repayment'!H8+'3_Interest_Repayment'!F8+'3_Interest_Repayment'!I8)/1000),0)</f>
        <v>14.8877718026654</v>
      </c>
      <c r="G10" s="54" t="n">
        <f aca="false">IFERROR('4_PnL_Forecast'!G31/MAX(1,('3_Interest_Repayment'!H9+'3_Interest_Repayment'!F9+'3_Interest_Repayment'!I9)/1000),0)</f>
        <v>32.093081134893</v>
      </c>
      <c r="H10" s="54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256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257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258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259</v>
      </c>
      <c r="B15" s="30" t="n">
        <f aca="false">B14-'4_PnL_Forecast'!B29</f>
        <v>-337</v>
      </c>
      <c r="C15" s="30" t="n">
        <f aca="false">C14-'4_PnL_Forecast'!C29</f>
        <v>-390.1</v>
      </c>
      <c r="D15" s="30" t="n">
        <f aca="false">D14-'4_PnL_Forecast'!D29</f>
        <v>-234.5</v>
      </c>
      <c r="E15" s="30" t="n">
        <f aca="false">E14-'4_PnL_Forecast'!E29</f>
        <v>266.5</v>
      </c>
      <c r="F15" s="30" t="n">
        <f aca="false">F14-'4_PnL_Forecast'!F29</f>
        <v>1144.5</v>
      </c>
      <c r="G15" s="30" t="n">
        <f aca="false">G14-'4_PnL_Forecast'!G29</f>
        <v>2746</v>
      </c>
      <c r="H15" s="30" t="n">
        <f aca="false">H14-'4_PnL_Forecast'!H29</f>
        <v>5339</v>
      </c>
    </row>
    <row r="16" customFormat="false" ht="15" hidden="false" customHeight="true" outlineLevel="0" collapsed="false">
      <c r="A16" s="3" t="s">
        <v>260</v>
      </c>
      <c r="B16" s="55" t="n">
        <f aca="false">IFERROR(B15/MAX(1,('3_Interest_Repayment'!H4+'3_Interest_Repayment'!F4+'3_Interest_Repayment'!I4)/1000),0)</f>
        <v>-35.031185031185</v>
      </c>
      <c r="C16" s="55" t="n">
        <f aca="false">IFERROR(C15/MAX(1,('3_Interest_Repayment'!H5+'3_Interest_Repayment'!F5+'3_Interest_Repayment'!I5)/1000),0)</f>
        <v>-34.0313199807729</v>
      </c>
      <c r="D16" s="55" t="n">
        <f aca="false">IFERROR(D15/MAX(1,('3_Interest_Repayment'!H6+'3_Interest_Repayment'!F6+'3_Interest_Repayment'!I6)/1000),0)</f>
        <v>-1.09353012200101</v>
      </c>
      <c r="E16" s="55" t="n">
        <f aca="false">IFERROR(E15/MAX(1,('3_Interest_Repayment'!H7+'3_Interest_Repayment'!F7+'3_Interest_Repayment'!I7)/1000),0)</f>
        <v>1.46880511463845</v>
      </c>
      <c r="F16" s="55" t="n">
        <f aca="false">IFERROR(F15/MAX(1,('3_Interest_Repayment'!H8+'3_Interest_Repayment'!F8+'3_Interest_Repayment'!I8)/1000),0)</f>
        <v>6.689852700491</v>
      </c>
      <c r="G16" s="55" t="n">
        <f aca="false">IFERROR(G15/MAX(1,('3_Interest_Repayment'!H9+'3_Interest_Repayment'!F9+'3_Interest_Repayment'!I9)/1000),0)</f>
        <v>17.0856147336984</v>
      </c>
      <c r="H16" s="55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261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262</v>
      </c>
      <c r="B19" s="56" t="n">
        <f aca="false">'1_Cover_Assumptions'!B51</f>
        <v>0.119241397584889</v>
      </c>
      <c r="D19" s="11" t="s">
        <v>263</v>
      </c>
    </row>
    <row r="20" customFormat="false" ht="15" hidden="false" customHeight="true" outlineLevel="0" collapsed="false">
      <c r="A20" s="34" t="s">
        <v>264</v>
      </c>
      <c r="B20" s="53" t="n">
        <f aca="false">MIN('6_Balance_Sheet'!B32:H32)</f>
        <v>7.344</v>
      </c>
      <c r="D20" s="11" t="s">
        <v>265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2026-05-09T23:20:42Z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