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<sst xmlns="http://schemas.openxmlformats.org/spreadsheetml/2006/main" count="299" uniqueCount="267">
  <si>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</si>
  <si>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</si>
  <si>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</si>
  <si>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</si>
  <si>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</si>
  <si>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</si>
  <si>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</si>
  <si>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</si>
  <si>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</si>
  <si>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</si>
  <si>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</si>
  <si>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</si>
  <si>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</si>
  <si>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</si>
  <si>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</si>
  <si>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</si>
  <si>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</si>
  <si>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</si>
  <si>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</si>
  <si>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</si>
  <si>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</si>
  <si>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</si>
  <si>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</si>
  <si>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</si>
  <si>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</si>
  <si>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</si>
  <si>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</si>
  <si>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</si>
  <si>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</si>
  <si>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</si>
  <si>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</si>
  <si>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</si>
  <si>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</si>
  <si>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</si>
  <si>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</si>
  <si>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</si>
  <si>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</si>
  <si>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</si>
  <si>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</si>
  <si>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</si>
  <si>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</si>
  <si>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</si>
  <si>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</si>
  <si>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</si>
  <si>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</si>
  <si>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</si>
  <si>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</si>
  <si>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</si>
  <si>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</si>
  <si>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</si>
  <si>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</si>
  <si>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</si>
  <si>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</si>
  <si>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</si>
  <si>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</si>
  <si>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</si>
  <si>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</si>
  <si>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</si>
  <si>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</si>
  <si>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</si>
  <si>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</si>
  <si>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</si>
  <si>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</si>
  <si>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</si>
  <si>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</si>
  <si>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</si>
  <si>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</si>
  <si>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</si>
  <si>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</si>
  <si>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</si>
  <si>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</si>
  <si>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</si>
  <si>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</si>
  <si>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</si>
  <si>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</si>
  <si>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</si>
  <si>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</si>
  <si>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</si>
  <si>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</si>
  <si>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</si>
  <si>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</si>
  <si>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</si>
  <si>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</si>
  <si>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</si>
  <si>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</si>
  <si>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</si>
  <si>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</si>
  <si>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</si>
  <si>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</si>
  <si>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</si>
  <si>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</si>
  <si>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</si>
  <si>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</si>
  <si>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</si>
  <si>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</si>
  <si>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</si>
  <si>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</si>
  <si>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</si>
  <si>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</si>
  <si>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</si>
  <si>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</si>
  <si>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</si>
  <si>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</si>
  <si>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</si>
  <si>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</si>
  <si>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</si>
  <si>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</si>
  <si>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</si>
  <si>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</si>
  <si>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</si>
  <si>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</si>
  <si>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</si>
  <si>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</si>
  <si>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</si>
  <si>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</si>
  <si>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</si>
  <si>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</si>
  <si>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</si>
  <si>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</si>
  <si>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</si>
  <si>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</si>
  <si>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</si>
  <si>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</si>
  <si>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</si>
  <si>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</si>
  <si>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</si>
  <si>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</si>
  <si>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</si>
  <si>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</si>
  <si>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</si>
  <si>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</si>
  <si>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</si>
  <si>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</si>
  <si>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</si>
  <si>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</si>
  <si>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</si>
  <si>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</si>
  <si>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</si>
  <si>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</si>
  <si>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</si>
  <si>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</si>
  <si>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</si>
  <si>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</si>
  <si>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</si>
  <si>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</si>
  <si>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</si>
  <si>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</si>
  <si>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</si>
  <si>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</si>
  <si>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</si>
  <si>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</si>
  <si>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</si>
  <si>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</si>
  <si>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</si>
  <si>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</si>
  <si>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</si>
  <si>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</si>
  <si>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</si>
  <si>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</si>
  <si>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</si>
  <si>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</si>
  <si>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</si>
  <si>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</si>
  <si>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</si>
  <si>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</si>
  <si>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</si>
  <si>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</si>
  <si>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</si>
  <si>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</si>
  <si>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</si>
  <si>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</si>
  <si>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</si>
  <si>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</si>
  <si>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</si>
  <si>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</si>
  <si>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</si>
  <si>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</si>
  <si>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</si>
  <si>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</si>
  <si>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</si>
  <si>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</si>
  <si>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</si>
  <si>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</si>
  <si>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</si>
  <si>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</si>
  <si>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</si>
  <si>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</si>
  <si>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</si>
  <si>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</si>
  <si>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</si>
  <si>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</si>
  <si>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</si>
  <si>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</si>
  <si>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</si>
  <si>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</si>
  <si>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</si>
  <si>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</si>
  <si>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</si>
  <si>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</si>
  <si>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</si>
  <si>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</si>
  <si>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</si>
  <si>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</si>
  <si>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</si>
  <si>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</si>
  <si>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</si>
  <si>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</si>
  <si>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</si>
  <si>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</si>
  <si>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</si>
  <si>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</si>
  <si>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</si>
  <si>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</si>
  <si>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</si>
  <si>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(R&amp;D capitalisation, working capital adjustments, IFRS reconciliation)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</si>
  <si>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</si>
  <si>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</si>
  <si>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</si>
  <si>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</si>
  <si>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</si>
  <si>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</si>
  <si>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</si>
  <si>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</si>
  <si>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</si>
  <si>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</si>
  <si>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</si>
  <si>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</si>
  <si>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</si>
  <si>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</si>
  <si>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</si>
  <si>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</si>
  <si>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</si>
  <si>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</si>
  <si>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</si>
  <si>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</si>
  <si>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</si>
  <si>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</si>
  <si>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</si>
  <si>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</si>
  <si>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</si>
  <si>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</si>
  <si>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Loan-to-eligible cost ratio (NOT subsidy intensity); subsidy = GGE per §9.1, est. 12%</t>
  </si>
  <si>
    <t xml:space="preserve">Matched funding (VC follow-on round £1M, soft interest)</t>
  </si>
  <si>
    <t xml:space="preserve">£190K of £1M VC follow-on round; voluntary per Competition Doc §15</t>
  </si>
  <si>
    <t xml:space="preserve">TOTAL PROJECT FINANCING (loan + matched)</t>
  </si>
  <si>
    <t xml:space="preserve">Loan + matched &gt; eligible cost by £9.4K (working capital buffer)</t>
  </si>
  <si>
    <t xml:space="preserve">Subsidy intensity note (per Competition Doc §9.1 + §15):</t>
  </si>
  <si>
    <t xml:space="preserve">Per Competition Document §15 Q&amp;A: 'The subsidy is classed not as the loan amount, but as the benefit in the loan (difference between market rates and 7.4%).' GGE (Gross Grant Equivalent) is auto-calculated by the Innovate UK Qualtrics financial projections tab. Estimated GGE intensity ~12% of eligible cost, well below the 45% small SME cap (Competition Doc §9.1). The loan-to-eligible-cost ratio (79.5%) shown above is NOT the subsidy intensity — it is the proportion of project costs covered by the loan.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</si>
  <si>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</si>
  <si>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</si>
  <si>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</si>
  <si>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</si>
  <si>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</si>
  <si>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</si>
  <si>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</si>
  <si>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</si>
  <si>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"n/m"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</si>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</sst>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%;\(0.0%\);\-"/>
    <numFmt numFmtId="174" formatCode="@"/>
    <numFmt numFmtId="175" formatCode="0.00%;\(0.0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5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  <c r="C16" s="1" t="n">
        <f aca="false">B16/B12</f>
        <v>1.01071241597743</v>
      </c>
      <c r="D16" s="5" t="s">
        <v>245</v>
      </c>
    </row>
    <row r="18" customFormat="false" ht="15" hidden="false" customHeight="true" outlineLevel="0" collapsed="false">
      <c r="A18" s="50" t="s">
        <v>246</v>
      </c>
    </row>
    <row r="19" customFormat="false" ht="79.5" hidden="false" customHeight="true" outlineLevel="0" collapsed="false">
      <c r="A19" s="22" t="s">
        <v>247</v>
      </c>
      <c r="B19" s="22"/>
      <c r="C19" s="22"/>
      <c r="D19" s="22"/>
      <c r="E19" s="22"/>
      <c r="F19" s="22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249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250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251</v>
      </c>
      <c r="B5" s="51" t="s">
        <v>252</v>
      </c>
      <c r="C5" s="33" t="n">
        <f aca="false">IFERROR('4_PnL_Forecast'!C9/'4_PnL_Forecast'!B9-1,0)</f>
        <v>6.6</v>
      </c>
      <c r="D5" s="33" t="n">
        <f aca="false">IFERROR('4_PnL_Forecast'!D9/'4_PnL_Forecast'!C9-1,0)</f>
        <v>2</v>
      </c>
      <c r="E5" s="33" t="n">
        <f aca="false">IFERROR('4_PnL_Forecast'!E9/'4_PnL_Forecast'!D9-1,0)</f>
        <v>1.45614035087719</v>
      </c>
      <c r="F5" s="33" t="n">
        <f aca="false">IFERROR('4_PnL_Forecast'!F9/'4_PnL_Forecast'!E9-1,0)</f>
        <v>0.892857142857143</v>
      </c>
      <c r="G5" s="33" t="n">
        <f aca="false">IFERROR('4_PnL_Forecast'!G9/'4_PnL_Forecast'!F9-1,0)</f>
        <v>0.707547169811321</v>
      </c>
      <c r="H5" s="33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52" t="str">
        <f aca="false">IF('4_PnL_Forecast'!B9&lt;500,"n/m",'4_PnL_Forecast'!B17/'4_PnL_Forecast'!B9)</f>
        <v>n/m</v>
      </c>
      <c r="C6" s="52" t="str">
        <f aca="false">IF('4_PnL_Forecast'!C9&lt;500,"n/m",'4_PnL_Forecast'!C17/'4_PnL_Forecast'!C9)</f>
        <v>n/m</v>
      </c>
      <c r="D6" s="52" t="n">
        <f aca="false">IF('4_PnL_Forecast'!D9&lt;500,"n/m",'4_PnL_Forecast'!D17/'4_PnL_Forecast'!D9)</f>
        <v>0.837719298245614</v>
      </c>
      <c r="E6" s="52" t="n">
        <f aca="false">IF('4_PnL_Forecast'!E9&lt;500,"n/m",'4_PnL_Forecast'!E17/'4_PnL_Forecast'!E9)</f>
        <v>0.876785714285714</v>
      </c>
      <c r="F6" s="52" t="n">
        <f aca="false">IF('4_PnL_Forecast'!F9&lt;500,"n/m",'4_PnL_Forecast'!F17/'4_PnL_Forecast'!F9)</f>
        <v>0.882075471698113</v>
      </c>
      <c r="G6" s="52" t="n">
        <f aca="false">IF('4_PnL_Forecast'!G9&lt;500,"n/m",'4_PnL_Forecast'!G17/'4_PnL_Forecast'!G9)</f>
        <v>0.888397790055249</v>
      </c>
      <c r="H6" s="52" t="n">
        <f aca="false">IF('4_PnL_Forecast'!H9&lt;500,"n/m",'4_PnL_Forecast'!H17/'4_PnL_Forecast'!H9)</f>
        <v>0.893425605536332</v>
      </c>
    </row>
    <row r="7" customFormat="false" ht="15" hidden="false" customHeight="true" outlineLevel="0" collapsed="false">
      <c r="A7" s="34" t="s">
        <v>168</v>
      </c>
      <c r="B7" s="52" t="str">
        <f aca="false">IF('4_PnL_Forecast'!B9&lt;500,"n/m",'4_PnL_Forecast'!B31/'4_PnL_Forecast'!B9)</f>
        <v>n/m</v>
      </c>
      <c r="C7" s="52" t="str">
        <f aca="false">IF('4_PnL_Forecast'!C9&lt;500,"n/m",'4_PnL_Forecast'!C31/'4_PnL_Forecast'!C9)</f>
        <v>n/m</v>
      </c>
      <c r="D7" s="52" t="n">
        <f aca="false">IF('4_PnL_Forecast'!D9&lt;500,"n/m",'4_PnL_Forecast'!D31/'4_PnL_Forecast'!D9)</f>
        <v>0.0456140350877193</v>
      </c>
      <c r="E7" s="52" t="n">
        <f aca="false">IF('4_PnL_Forecast'!E9&lt;500,"n/m",'4_PnL_Forecast'!E31/'4_PnL_Forecast'!E9)</f>
        <v>0.358214285714286</v>
      </c>
      <c r="F7" s="52" t="n">
        <f aca="false">IF('4_PnL_Forecast'!F9&lt;500,"n/m",'4_PnL_Forecast'!F31/'4_PnL_Forecast'!F9)</f>
        <v>0.480566037735849</v>
      </c>
      <c r="G7" s="52" t="n">
        <f aca="false">IF('4_PnL_Forecast'!G9&lt;500,"n/m",'4_PnL_Forecast'!G31/'4_PnL_Forecast'!G9)</f>
        <v>0.569944751381216</v>
      </c>
      <c r="H7" s="52" t="n">
        <f aca="false">IF('4_PnL_Forecast'!H9&lt;500,"n/m",'4_PnL_Forecast'!H31/'4_PnL_Forecast'!H9)</f>
        <v>0.637508650519031</v>
      </c>
    </row>
    <row r="8" customFormat="false" ht="15" hidden="false" customHeight="true" outlineLevel="0" collapsed="false">
      <c r="A8" s="34" t="s">
        <v>253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3" t="s">
        <v>254</v>
      </c>
      <c r="B9" s="54" t="n">
        <f aca="false">'6_Balance_Sheet'!B32</f>
        <v>7.344</v>
      </c>
      <c r="C9" s="54" t="n">
        <f aca="false">'6_Balance_Sheet'!C32</f>
        <v>25.07292575</v>
      </c>
      <c r="D9" s="54" t="n">
        <f aca="false">'6_Balance_Sheet'!D32</f>
        <v>12.7643223561765</v>
      </c>
      <c r="E9" s="54" t="n">
        <f aca="false">'6_Balance_Sheet'!E32</f>
        <v>14.6218221833182</v>
      </c>
      <c r="F9" s="54" t="n">
        <f aca="false">'6_Balance_Sheet'!F32</f>
        <v>19.6490614127353</v>
      </c>
      <c r="G9" s="54" t="n">
        <f aca="false">'6_Balance_Sheet'!G32</f>
        <v>28.08320176066</v>
      </c>
      <c r="H9" s="54" t="n">
        <f aca="false">'6_Balance_Sheet'!H32</f>
        <v>38.1306401115695</v>
      </c>
    </row>
    <row r="10" customFormat="false" ht="15" hidden="false" customHeight="true" outlineLevel="0" collapsed="false">
      <c r="A10" s="34" t="s">
        <v>255</v>
      </c>
      <c r="B10" s="55" t="s">
        <v>256</v>
      </c>
      <c r="C10" s="55" t="s">
        <v>256</v>
      </c>
      <c r="D10" s="56" t="n">
        <f aca="false">IFERROR('4_PnL_Forecast'!D31/MAX(1,('3_Interest_Repayment'!H6+'3_Interest_Repayment'!F6+'3_Interest_Repayment'!I6)/1000),0)</f>
        <v>0.242488555838178</v>
      </c>
      <c r="E10" s="56" t="n">
        <f aca="false">IFERROR('4_PnL_Forecast'!E31/MAX(1,('3_Interest_Repayment'!H7+'3_Interest_Repayment'!F7+'3_Interest_Repayment'!I7)/1000),0)</f>
        <v>5.52799823633157</v>
      </c>
      <c r="F10" s="56" t="n">
        <f aca="false">IFERROR('4_PnL_Forecast'!F31/MAX(1,('3_Interest_Repayment'!H8+'3_Interest_Repayment'!F8+'3_Interest_Repayment'!I8)/1000),0)</f>
        <v>14.8877718026654</v>
      </c>
      <c r="G10" s="56" t="n">
        <f aca="false">IFERROR('4_PnL_Forecast'!G31/MAX(1,('3_Interest_Repayment'!H9+'3_Interest_Repayment'!F9+'3_Interest_Repayment'!I9)/1000),0)</f>
        <v>32.093081134893</v>
      </c>
      <c r="H10" s="56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257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259</v>
      </c>
      <c r="B14" s="36" t="str">
        <f aca="false">IF('4_PnL_Forecast'!B9&lt;500,"n/m",B13*('4_PnL_Forecast'!B17/'4_PnL_Forecast'!B9))</f>
        <v>n/m</v>
      </c>
      <c r="C14" s="36" t="str">
        <f aca="false">IF('4_PnL_Forecast'!C9&lt;500,"n/m",C13*('4_PnL_Forecast'!C17/'4_PnL_Forecast'!C9))</f>
        <v>n/m</v>
      </c>
      <c r="D14" s="36" t="n">
        <f aca="false">IF('4_PnL_Forecast'!D9&lt;500,"n/m",D13*('4_PnL_Forecast'!D17/'4_PnL_Forecast'!D9))</f>
        <v>668.5</v>
      </c>
      <c r="E14" s="36" t="n">
        <f aca="false">IF('4_PnL_Forecast'!E9&lt;500,"n/m",E13*('4_PnL_Forecast'!E17/'4_PnL_Forecast'!E9))</f>
        <v>1718.5</v>
      </c>
      <c r="F14" s="36" t="n">
        <f aca="false">IF('4_PnL_Forecast'!F9&lt;500,"n/m",F13*('4_PnL_Forecast'!F17/'4_PnL_Forecast'!F9))</f>
        <v>3272.5</v>
      </c>
      <c r="G14" s="36" t="n">
        <f aca="false">IF('4_PnL_Forecast'!G9&lt;500,"n/m",G13*('4_PnL_Forecast'!G17/'4_PnL_Forecast'!G9))</f>
        <v>5628</v>
      </c>
      <c r="H14" s="36" t="n">
        <f aca="false">IF('4_PnL_Forecast'!H9&lt;500,"n/m",H13*('4_PnL_Forecast'!H17/'4_PnL_Forecast'!H9))</f>
        <v>9037</v>
      </c>
    </row>
    <row r="15" customFormat="false" ht="15" hidden="false" customHeight="true" outlineLevel="0" collapsed="false">
      <c r="A15" s="3" t="s">
        <v>260</v>
      </c>
      <c r="B15" s="30" t="str">
        <f aca="false">IF(ISTEXT(B14),"n/m",B14-'4_PnL_Forecast'!B29)</f>
        <v>n/m</v>
      </c>
      <c r="C15" s="30" t="str">
        <f aca="false">IF(ISTEXT(C14),"n/m",C14-'4_PnL_Forecast'!C29)</f>
        <v>n/m</v>
      </c>
      <c r="D15" s="30" t="n">
        <f aca="false">IF(ISTEXT(D14),"n/m",D14-'4_PnL_Forecast'!D29)</f>
        <v>-234.5</v>
      </c>
      <c r="E15" s="30" t="n">
        <f aca="false">IF(ISTEXT(E14),"n/m",E14-'4_PnL_Forecast'!E29)</f>
        <v>266.5</v>
      </c>
      <c r="F15" s="30" t="n">
        <f aca="false">IF(ISTEXT(F14),"n/m",F14-'4_PnL_Forecast'!F29)</f>
        <v>1144.5</v>
      </c>
      <c r="G15" s="30" t="n">
        <f aca="false">IF(ISTEXT(G14),"n/m",G14-'4_PnL_Forecast'!G29)</f>
        <v>2746</v>
      </c>
      <c r="H15" s="30" t="n">
        <f aca="false">IF(ISTEXT(H14),"n/m",H14-'4_PnL_Forecast'!H29)</f>
        <v>5339</v>
      </c>
    </row>
    <row r="16" customFormat="false" ht="15" hidden="false" customHeight="true" outlineLevel="0" collapsed="false">
      <c r="A16" s="3" t="s">
        <v>261</v>
      </c>
      <c r="B16" s="57" t="s">
        <v>256</v>
      </c>
      <c r="C16" s="57" t="s">
        <v>256</v>
      </c>
      <c r="D16" s="58" t="n">
        <f aca="false">IFERROR(IF(ISTEXT(D15),"n/m",D15/MAX(1,('3_Interest_Repayment'!H6+'3_Interest_Repayment'!F6+'3_Interest_Repayment'!I6)/1000)),0)</f>
        <v>-1.09353012200101</v>
      </c>
      <c r="E16" s="58" t="n">
        <f aca="false">IFERROR(IF(ISTEXT(E15),"n/m",E15/MAX(1,('3_Interest_Repayment'!H7+'3_Interest_Repayment'!F7+'3_Interest_Repayment'!I7)/1000)),0)</f>
        <v>1.46880511463845</v>
      </c>
      <c r="F16" s="58" t="n">
        <f aca="false">IFERROR(IF(ISTEXT(F15),"n/m",F15/MAX(1,('3_Interest_Repayment'!H8+'3_Interest_Repayment'!F8+'3_Interest_Repayment'!I8)/1000)),0)</f>
        <v>6.689852700491</v>
      </c>
      <c r="G16" s="58" t="n">
        <f aca="false">IFERROR(IF(ISTEXT(G15),"n/m",G15/MAX(1,('3_Interest_Repayment'!H9+'3_Interest_Repayment'!F9+'3_Interest_Repayment'!I9)/1000)),0)</f>
        <v>17.0856147336984</v>
      </c>
      <c r="H16" s="58" t="n">
        <f aca="false">IFERROR(IF(ISTEXT(H15),"n/m",H15/MAX(1,('3_Interest_Repayment'!H10+'3_Interest_Repayment'!F10+'3_Interest_Repayment'!I10)/1000)),0)</f>
        <v>35.5081138600692</v>
      </c>
    </row>
    <row r="18" customFormat="false" ht="21.75" hidden="false" customHeight="true" outlineLevel="0" collapsed="false">
      <c r="A18" s="6" t="s">
        <v>262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263</v>
      </c>
      <c r="B19" s="59" t="n">
        <f aca="false">'1_Cover_Assumptions'!B51</f>
        <v>0.119241397584889</v>
      </c>
      <c r="D19" s="11" t="s">
        <v>264</v>
      </c>
    </row>
    <row r="20" customFormat="false" ht="15" hidden="false" customHeight="true" outlineLevel="0" collapsed="false">
      <c r="A20" s="34" t="s">
        <v>265</v>
      </c>
      <c r="B20" s="54" t="n">
        <f aca="false">MIN('6_Balance_Sheet'!B32:H32)</f>
        <v>7.344</v>
      </c>
      <c r="D20" s="11" t="s">
        <v>266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2026-05-09T23:24:44Z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