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<sst xmlns="http://schemas.openxmlformats.org/spreadsheetml/2006/main" count="288" uniqueCount="257">
  <si>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</si>
  <si>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</si>
  <si>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</si>
  <si>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</si>
  <si>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</si>
  <si>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</si>
  <si>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</si>
  <si>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</si>
  <si>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</si>
  <si>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</si>
  <si>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</si>
  <si>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</si>
  <si>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</si>
  <si>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</si>
  <si>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</si>
  <si>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</si>
  <si>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</si>
  <si>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</si>
  <si>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</si>
  <si>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</si>
  <si>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</si>
  <si>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</si>
  <si>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</si>
  <si>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</si>
  <si>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</si>
  <si>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</si>
  <si>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</si>
  <si>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</si>
  <si>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</si>
  <si>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</si>
  <si>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</si>
  <si>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</si>
  <si>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</si>
  <si>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</si>
  <si>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</si>
  <si>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</si>
  <si>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</si>
  <si>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</si>
  <si>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</si>
  <si>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</si>
  <si>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</si>
  <si>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</si>
  <si>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</si>
  <si>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</si>
  <si>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</si>
  <si>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</si>
  <si>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</si>
  <si>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</si>
  <si>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</si>
  <si>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</si>
  <si>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</si>
  <si>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</si>
  <si>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</si>
  <si>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</si>
  <si>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</si>
  <si>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</si>
  <si>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day/week)</t>
  </si>
  <si>
    <t xml:space="preserve">(£800/day × 5 days × 52 wks = £208k FT-eq)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</si>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</sst>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\£#,##0;&quot;(£&quot;#,##0\);\-"/>
    <numFmt numFmtId="172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18" t="n">
        <v>208000</v>
      </c>
      <c r="C32" s="15" t="n">
        <v>0.2</v>
      </c>
      <c r="D32" s="16" t="n">
        <v>18</v>
      </c>
      <c r="E32" s="17" t="n">
        <f aca="false">B32*C32*D32/12</f>
        <v>62400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9" t="n">
        <f aca="false">SUM(E27:E33)</f>
        <v>690900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20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19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1" t="n">
        <f aca="false">E34+E45</f>
        <v>898900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1" t="n">
        <f aca="false">E47+E48</f>
        <v>1088900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2" t="n">
        <f aca="false">B11/E47</f>
        <v>0.778729558349093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80</v>
      </c>
      <c r="B3" s="23" t="s">
        <v>81</v>
      </c>
      <c r="C3" s="23" t="s">
        <v>82</v>
      </c>
      <c r="D3" s="23" t="s">
        <v>83</v>
      </c>
      <c r="E3" s="23" t="s">
        <v>84</v>
      </c>
      <c r="F3" s="23" t="s">
        <v>85</v>
      </c>
    </row>
    <row r="4" customFormat="false" ht="15" hidden="false" customHeight="true" outlineLevel="0" collapsed="false">
      <c r="A4" s="24" t="n">
        <v>1</v>
      </c>
      <c r="B4" s="24" t="s">
        <v>86</v>
      </c>
      <c r="C4" s="25" t="s">
        <v>21</v>
      </c>
      <c r="D4" s="6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4" t="n">
        <v>2</v>
      </c>
      <c r="B5" s="24" t="s">
        <v>88</v>
      </c>
      <c r="C5" s="25" t="s">
        <v>89</v>
      </c>
      <c r="D5" s="6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4" t="n">
        <v>3</v>
      </c>
      <c r="B6" s="24" t="s">
        <v>91</v>
      </c>
      <c r="C6" s="25" t="s">
        <v>92</v>
      </c>
      <c r="D6" s="6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4" t="n">
        <v>4</v>
      </c>
      <c r="B7" s="24" t="s">
        <v>94</v>
      </c>
      <c r="C7" s="25" t="s">
        <v>95</v>
      </c>
      <c r="D7" s="6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4" t="n">
        <v>5</v>
      </c>
      <c r="B8" s="24" t="s">
        <v>97</v>
      </c>
      <c r="C8" s="25" t="s">
        <v>98</v>
      </c>
      <c r="D8" s="6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4" t="n">
        <v>6</v>
      </c>
      <c r="B9" s="24" t="s">
        <v>100</v>
      </c>
      <c r="C9" s="25" t="s">
        <v>101</v>
      </c>
      <c r="D9" s="6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1" t="n">
        <f aca="false">SUM(D4:D9)</f>
        <v>700000</v>
      </c>
      <c r="E10" s="21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520000</v>
      </c>
      <c r="E4" s="26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6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6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6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6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6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6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9" t="s">
        <v>130</v>
      </c>
      <c r="B14" s="29"/>
      <c r="C14" s="29"/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A15" s="29" t="s">
        <v>131</v>
      </c>
      <c r="B15" s="29"/>
      <c r="C15" s="29"/>
      <c r="D15" s="29"/>
      <c r="E15" s="29"/>
      <c r="F15" s="29"/>
      <c r="G15" s="29"/>
      <c r="H15" s="29"/>
      <c r="I15" s="29"/>
    </row>
    <row r="16" customFormat="false" ht="15" hidden="false" customHeight="true" outlineLevel="0" collapsed="false">
      <c r="A16" s="29" t="s">
        <v>132</v>
      </c>
      <c r="B16" s="29"/>
      <c r="C16" s="29"/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A17" s="29" t="s">
        <v>133</v>
      </c>
      <c r="B17" s="29"/>
      <c r="C17" s="29"/>
      <c r="D17" s="29"/>
      <c r="E17" s="29"/>
      <c r="F17" s="29"/>
      <c r="G17" s="29"/>
      <c r="H17" s="29"/>
      <c r="I17" s="29"/>
    </row>
    <row r="18" customFormat="false" ht="15" hidden="false" customHeight="true" outlineLevel="0" collapsed="false">
      <c r="A18" s="29" t="s">
        <v>134</v>
      </c>
      <c r="B18" s="29"/>
      <c r="C18" s="29"/>
      <c r="D18" s="29"/>
      <c r="E18" s="29"/>
      <c r="F18" s="29"/>
      <c r="G18" s="29"/>
      <c r="H18" s="29"/>
      <c r="I18" s="29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2" t="n">
        <f aca="false">SUM(B12:B14)</f>
        <v>60</v>
      </c>
      <c r="C15" s="32" t="n">
        <f aca="false">SUM(C12:C14)</f>
        <v>103</v>
      </c>
      <c r="D15" s="32" t="n">
        <f aca="false">SUM(D12:D14)</f>
        <v>185</v>
      </c>
      <c r="E15" s="32" t="n">
        <f aca="false">SUM(E12:E14)</f>
        <v>345</v>
      </c>
      <c r="F15" s="32" t="n">
        <f aca="false">SUM(F12:F14)</f>
        <v>625</v>
      </c>
      <c r="G15" s="32" t="n">
        <f aca="false">SUM(G12:G14)</f>
        <v>1010</v>
      </c>
      <c r="H15" s="32" t="n">
        <f aca="false">SUM(H12:H14)</f>
        <v>1540</v>
      </c>
    </row>
    <row r="17" customFormat="false" ht="15" hidden="false" customHeight="true" outlineLevel="0" collapsed="false">
      <c r="A17" s="33" t="s">
        <v>155</v>
      </c>
      <c r="B17" s="34" t="n">
        <f aca="false">B9-B15</f>
        <v>-10</v>
      </c>
      <c r="C17" s="34" t="n">
        <f aca="false">C9-C15</f>
        <v>277</v>
      </c>
      <c r="D17" s="34" t="n">
        <f aca="false">D9-D15</f>
        <v>955</v>
      </c>
      <c r="E17" s="34" t="n">
        <f aca="false">E9-E15</f>
        <v>2455</v>
      </c>
      <c r="F17" s="34" t="n">
        <f aca="false">F9-F15</f>
        <v>4675</v>
      </c>
      <c r="G17" s="34" t="n">
        <f aca="false">G9-G15</f>
        <v>8040</v>
      </c>
      <c r="H17" s="34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1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2" t="n">
        <f aca="false">SUM(B21:B28)</f>
        <v>330</v>
      </c>
      <c r="C29" s="32" t="n">
        <f aca="false">SUM(C21:C28)</f>
        <v>584</v>
      </c>
      <c r="D29" s="32" t="n">
        <f aca="false">SUM(D21:D28)</f>
        <v>903</v>
      </c>
      <c r="E29" s="32" t="n">
        <f aca="false">SUM(E21:E28)</f>
        <v>1452</v>
      </c>
      <c r="F29" s="32" t="n">
        <f aca="false">SUM(F21:F28)</f>
        <v>2128</v>
      </c>
      <c r="G29" s="32" t="n">
        <f aca="false">SUM(G21:G28)</f>
        <v>2882</v>
      </c>
      <c r="H29" s="32" t="n">
        <f aca="false">SUM(H21:H28)</f>
        <v>3698</v>
      </c>
    </row>
    <row r="31" customFormat="false" ht="15" hidden="false" customHeight="true" outlineLevel="0" collapsed="false">
      <c r="A31" s="33" t="s">
        <v>167</v>
      </c>
      <c r="B31" s="34" t="n">
        <f aca="false">B17-B29</f>
        <v>-340</v>
      </c>
      <c r="C31" s="34" t="n">
        <f aca="false">C17-C29</f>
        <v>-307</v>
      </c>
      <c r="D31" s="34" t="n">
        <f aca="false">D17-D29</f>
        <v>52</v>
      </c>
      <c r="E31" s="34" t="n">
        <f aca="false">E17-E29</f>
        <v>1003</v>
      </c>
      <c r="F31" s="34" t="n">
        <f aca="false">F17-F29</f>
        <v>2547</v>
      </c>
      <c r="G31" s="34" t="n">
        <f aca="false">G17-G29</f>
        <v>5158</v>
      </c>
      <c r="H31" s="34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5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2" t="n">
        <f aca="false">B31-B34</f>
        <v>-350</v>
      </c>
      <c r="C35" s="32" t="n">
        <f aca="false">C31-C34</f>
        <v>-337</v>
      </c>
      <c r="D35" s="32" t="n">
        <f aca="false">D31-D34</f>
        <v>-8</v>
      </c>
      <c r="E35" s="32" t="n">
        <f aca="false">E31-E34</f>
        <v>913</v>
      </c>
      <c r="F35" s="32" t="n">
        <f aca="false">F31-F34</f>
        <v>2427</v>
      </c>
      <c r="G35" s="32" t="n">
        <f aca="false">G31-G34</f>
        <v>5008</v>
      </c>
      <c r="H35" s="32" t="n">
        <f aca="false">H31-H34</f>
        <v>9032</v>
      </c>
    </row>
    <row r="36" customFormat="false" ht="15" hidden="false" customHeight="true" outlineLevel="0" collapsed="false">
      <c r="A36" s="35" t="s">
        <v>171</v>
      </c>
      <c r="B36" s="36" t="n">
        <f aca="false">'3_Interest_Repayment'!F4/1000</f>
        <v>9.62</v>
      </c>
      <c r="C36" s="36" t="n">
        <f aca="false">'3_Interest_Repayment'!F5/1000</f>
        <v>11.46297</v>
      </c>
      <c r="D36" s="36" t="n">
        <f aca="false">'3_Interest_Repayment'!F6/1000</f>
        <v>53.36013978</v>
      </c>
      <c r="E36" s="36" t="n">
        <f aca="false">'3_Interest_Repayment'!F7/1000</f>
        <v>42.688111824</v>
      </c>
      <c r="F36" s="36" t="n">
        <f aca="false">'3_Interest_Repayment'!F8/1000</f>
        <v>32.016083868</v>
      </c>
      <c r="G36" s="36" t="n">
        <f aca="false">'3_Interest_Repayment'!F9/1000</f>
        <v>21.344055912</v>
      </c>
      <c r="H36" s="36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2" t="n">
        <f aca="false">B35-B36</f>
        <v>-359.62</v>
      </c>
      <c r="C37" s="32" t="n">
        <f aca="false">C35-C36</f>
        <v>-348.46297</v>
      </c>
      <c r="D37" s="32" t="n">
        <f aca="false">D35-D36</f>
        <v>-61.36013978</v>
      </c>
      <c r="E37" s="32" t="n">
        <f aca="false">E35-E36</f>
        <v>870.311888176</v>
      </c>
      <c r="F37" s="32" t="n">
        <f aca="false">F35-F36</f>
        <v>2394.983916132</v>
      </c>
      <c r="G37" s="32" t="n">
        <f aca="false">G35-G36</f>
        <v>4986.655944088</v>
      </c>
      <c r="H37" s="32" t="n">
        <f aca="false">H35-H36</f>
        <v>9021.327972044</v>
      </c>
    </row>
    <row r="38" customFormat="false" ht="15" hidden="false" customHeight="true" outlineLevel="0" collapsed="false">
      <c r="A38" s="35" t="s">
        <v>173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217.577972044</v>
      </c>
      <c r="F38" s="37" t="n">
        <f aca="false">MAX(0,F37)*0.25</f>
        <v>598.745979033</v>
      </c>
      <c r="G38" s="37" t="n">
        <f aca="false">MAX(0,G37)*0.25</f>
        <v>1246.663986022</v>
      </c>
      <c r="H38" s="37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8" t="n">
        <f aca="false">B37-B38</f>
        <v>-359.62</v>
      </c>
      <c r="C39" s="38" t="n">
        <f aca="false">C37-C38</f>
        <v>-348.46297</v>
      </c>
      <c r="D39" s="38" t="n">
        <f aca="false">D37-D38</f>
        <v>-61.36013978</v>
      </c>
      <c r="E39" s="38" t="n">
        <f aca="false">E37-E38</f>
        <v>652.733916132</v>
      </c>
      <c r="F39" s="38" t="n">
        <f aca="false">F37-F38</f>
        <v>1796.237937099</v>
      </c>
      <c r="G39" s="38" t="n">
        <f aca="false">G37-G38</f>
        <v>3739.991958066</v>
      </c>
      <c r="H39" s="38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1" t="s">
        <v>176</v>
      </c>
    </row>
    <row r="5" customFormat="false" ht="15" hidden="false" customHeight="true" outlineLevel="0" collapsed="false">
      <c r="A5" s="35" t="s">
        <v>177</v>
      </c>
      <c r="B5" s="36" t="n">
        <f aca="false">'4_PnL_Forecast'!B31</f>
        <v>-340</v>
      </c>
      <c r="C5" s="36" t="n">
        <f aca="false">'4_PnL_Forecast'!C31</f>
        <v>-307</v>
      </c>
      <c r="D5" s="36" t="n">
        <f aca="false">'4_PnL_Forecast'!D31</f>
        <v>52</v>
      </c>
      <c r="E5" s="36" t="n">
        <f aca="false">'4_PnL_Forecast'!E31</f>
        <v>1003</v>
      </c>
      <c r="F5" s="36" t="n">
        <f aca="false">'4_PnL_Forecast'!F31</f>
        <v>2547</v>
      </c>
      <c r="G5" s="36" t="n">
        <f aca="false">'4_PnL_Forecast'!G31</f>
        <v>5158</v>
      </c>
      <c r="H5" s="36" t="n">
        <f aca="false">'4_PnL_Forecast'!H31</f>
        <v>9212</v>
      </c>
    </row>
    <row r="6" customFormat="false" ht="15" hidden="false" customHeight="true" outlineLevel="0" collapsed="false">
      <c r="A6" s="35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5" t="s">
        <v>179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-217.577972044</v>
      </c>
      <c r="F7" s="36" t="n">
        <f aca="false">-'4_PnL_Forecast'!F38</f>
        <v>-598.745979033</v>
      </c>
      <c r="G7" s="36" t="n">
        <f aca="false">-'4_PnL_Forecast'!G38</f>
        <v>-1246.663986022</v>
      </c>
      <c r="H7" s="36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30" t="n">
        <f aca="false">B5+B6+B7</f>
        <v>-350</v>
      </c>
      <c r="C8" s="30" t="n">
        <f aca="false">C5+C6+C7</f>
        <v>-332</v>
      </c>
      <c r="D8" s="30" t="n">
        <f aca="false">D5+D6+D7</f>
        <v>2</v>
      </c>
      <c r="E8" s="30" t="n">
        <f aca="false">E5+E6+E7</f>
        <v>700.422027956</v>
      </c>
      <c r="F8" s="30" t="n">
        <f aca="false">F5+F6+F7</f>
        <v>1808.254020967</v>
      </c>
      <c r="G8" s="30" t="n">
        <f aca="false">G5+G6+G7</f>
        <v>3711.336013978</v>
      </c>
      <c r="H8" s="30" t="n">
        <f aca="false">H5+H6+H7</f>
        <v>6686.668006989</v>
      </c>
    </row>
    <row r="10" customFormat="false" ht="15" hidden="false" customHeight="true" outlineLevel="0" collapsed="false">
      <c r="A10" s="31" t="s">
        <v>181</v>
      </c>
    </row>
    <row r="11" customFormat="false" ht="15" hidden="false" customHeight="true" outlineLevel="0" collapsed="false">
      <c r="A11" s="35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2" t="n">
        <f aca="false">B11</f>
        <v>-60</v>
      </c>
      <c r="C12" s="32" t="n">
        <f aca="false">C11</f>
        <v>-50</v>
      </c>
      <c r="D12" s="32" t="n">
        <f aca="false">D11</f>
        <v>-45</v>
      </c>
      <c r="E12" s="32" t="n">
        <f aca="false">E11</f>
        <v>-65</v>
      </c>
      <c r="F12" s="32" t="n">
        <f aca="false">F11</f>
        <v>-85</v>
      </c>
      <c r="G12" s="32" t="n">
        <f aca="false">G11</f>
        <v>-110</v>
      </c>
      <c r="H12" s="32" t="n">
        <f aca="false">H11</f>
        <v>-150</v>
      </c>
    </row>
    <row r="14" customFormat="false" ht="15" hidden="false" customHeight="true" outlineLevel="0" collapsed="false">
      <c r="A14" s="31" t="s">
        <v>184</v>
      </c>
    </row>
    <row r="15" customFormat="false" ht="15" hidden="false" customHeight="true" outlineLevel="0" collapsed="false">
      <c r="A15" s="35" t="s">
        <v>185</v>
      </c>
      <c r="B15" s="36" t="n">
        <f aca="false">'3_Interest_Repayment'!D4/1000</f>
        <v>520</v>
      </c>
      <c r="C15" s="36" t="n">
        <f aca="false">'3_Interest_Repayment'!D5/1000</f>
        <v>180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186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-144.216594</v>
      </c>
      <c r="E16" s="36" t="n">
        <f aca="false">-'3_Interest_Repayment'!G7/1000</f>
        <v>-144.216594</v>
      </c>
      <c r="F16" s="36" t="n">
        <f aca="false">-'3_Interest_Repayment'!G8/1000</f>
        <v>-144.216594</v>
      </c>
      <c r="G16" s="36" t="n">
        <f aca="false">-'3_Interest_Repayment'!G9/1000</f>
        <v>-144.216594</v>
      </c>
      <c r="H16" s="36" t="n">
        <f aca="false">-'3_Interest_Repayment'!G10/1000</f>
        <v>-144.216594</v>
      </c>
    </row>
    <row r="17" customFormat="false" ht="15" hidden="false" customHeight="true" outlineLevel="0" collapsed="false">
      <c r="A17" s="35" t="s">
        <v>187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-53.36013978</v>
      </c>
      <c r="E17" s="36" t="n">
        <f aca="false">-'3_Interest_Repayment'!H7/1000</f>
        <v>-42.688111824</v>
      </c>
      <c r="F17" s="36" t="n">
        <f aca="false">-'3_Interest_Repayment'!H8/1000</f>
        <v>-32.016083868</v>
      </c>
      <c r="G17" s="36" t="n">
        <f aca="false">-'3_Interest_Repayment'!H9/1000</f>
        <v>-21.344055912</v>
      </c>
      <c r="H17" s="36" t="n">
        <f aca="false">-'3_Interest_Repayment'!H10/1000</f>
        <v>-10.672027956</v>
      </c>
    </row>
    <row r="18" customFormat="false" ht="15" hidden="false" customHeight="true" outlineLevel="0" collapsed="false">
      <c r="A18" s="35" t="s">
        <v>188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2" t="n">
        <f aca="false">B15+B16+B17+B18</f>
        <v>710</v>
      </c>
      <c r="C19" s="32" t="n">
        <f aca="false">C15+C16+C17+C18</f>
        <v>180</v>
      </c>
      <c r="D19" s="32" t="n">
        <f aca="false">D15+D16+D17+D18</f>
        <v>-197.57673378</v>
      </c>
      <c r="E19" s="32" t="n">
        <f aca="false">E15+E16+E17+E18</f>
        <v>-186.904705824</v>
      </c>
      <c r="F19" s="32" t="n">
        <f aca="false">F15+F16+F17+F18</f>
        <v>-176.232677868</v>
      </c>
      <c r="G19" s="32" t="n">
        <f aca="false">G15+G16+G17+G18</f>
        <v>-165.560649912</v>
      </c>
      <c r="H19" s="32" t="n">
        <f aca="false">H15+H16+H17+H18</f>
        <v>-154.888621956</v>
      </c>
    </row>
    <row r="21" customFormat="false" ht="15" hidden="false" customHeight="true" outlineLevel="0" collapsed="false">
      <c r="A21" s="33" t="s">
        <v>190</v>
      </c>
      <c r="B21" s="34" t="n">
        <f aca="false">B8+B12+B19</f>
        <v>300</v>
      </c>
      <c r="C21" s="34" t="n">
        <f aca="false">C8+C12+C19</f>
        <v>-202</v>
      </c>
      <c r="D21" s="34" t="n">
        <f aca="false">D8+D12+D19</f>
        <v>-240.57673378</v>
      </c>
      <c r="E21" s="34" t="n">
        <f aca="false">E8+E12+E19</f>
        <v>448.517322132</v>
      </c>
      <c r="F21" s="34" t="n">
        <f aca="false">F8+F12+F19</f>
        <v>1547.021343099</v>
      </c>
      <c r="G21" s="34" t="n">
        <f aca="false">G8+G12+G19</f>
        <v>3435.775364066</v>
      </c>
      <c r="H21" s="34" t="n">
        <f aca="false">H8+H12+H19</f>
        <v>6381.779385033</v>
      </c>
    </row>
    <row r="22" customFormat="false" ht="15" hidden="false" customHeight="true" outlineLevel="0" collapsed="false">
      <c r="A22" s="35" t="s">
        <v>191</v>
      </c>
      <c r="B22" s="8" t="n">
        <v>0</v>
      </c>
      <c r="C22" s="37" t="n">
        <f aca="false">B23</f>
        <v>300</v>
      </c>
      <c r="D22" s="37" t="n">
        <f aca="false">C23</f>
        <v>98</v>
      </c>
      <c r="E22" s="37" t="n">
        <f aca="false">D23</f>
        <v>-142.57673378</v>
      </c>
      <c r="F22" s="37" t="n">
        <f aca="false">E23</f>
        <v>305.940588352</v>
      </c>
      <c r="G22" s="37" t="n">
        <f aca="false">F23</f>
        <v>1852.961931451</v>
      </c>
      <c r="H22" s="37" t="n">
        <f aca="false">G23</f>
        <v>5288.737295517</v>
      </c>
    </row>
    <row r="23" customFormat="false" ht="15" hidden="false" customHeight="true" outlineLevel="0" collapsed="false">
      <c r="A23" s="13" t="s">
        <v>192</v>
      </c>
      <c r="B23" s="38" t="n">
        <f aca="false">B22+B21</f>
        <v>300</v>
      </c>
      <c r="C23" s="38" t="n">
        <f aca="false">C22+C21</f>
        <v>98</v>
      </c>
      <c r="D23" s="38" t="n">
        <f aca="false">D22+D21</f>
        <v>-142.57673378</v>
      </c>
      <c r="E23" s="38" t="n">
        <f aca="false">E22+E21</f>
        <v>305.940588352</v>
      </c>
      <c r="F23" s="38" t="n">
        <f aca="false">F22+F21</f>
        <v>1852.961931451</v>
      </c>
      <c r="G23" s="38" t="n">
        <f aca="false">G22+G21</f>
        <v>5288.737295517</v>
      </c>
      <c r="H23" s="38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1" t="s">
        <v>194</v>
      </c>
    </row>
    <row r="5" customFormat="false" ht="15" hidden="false" customHeight="true" outlineLevel="0" collapsed="false">
      <c r="A5" s="35" t="s">
        <v>195</v>
      </c>
      <c r="B5" s="36" t="n">
        <f aca="false">'5_Cashflow'!B23</f>
        <v>300</v>
      </c>
      <c r="C5" s="36" t="n">
        <f aca="false">'5_Cashflow'!C23</f>
        <v>98</v>
      </c>
      <c r="D5" s="36" t="n">
        <f aca="false">'5_Cashflow'!D23</f>
        <v>-142.57673378</v>
      </c>
      <c r="E5" s="36" t="n">
        <f aca="false">'5_Cashflow'!E23</f>
        <v>305.940588352</v>
      </c>
      <c r="F5" s="36" t="n">
        <f aca="false">'5_Cashflow'!F23</f>
        <v>1852.961931451</v>
      </c>
      <c r="G5" s="36" t="n">
        <f aca="false">'5_Cashflow'!G23</f>
        <v>5288.737295517</v>
      </c>
      <c r="H5" s="36" t="n">
        <f aca="false">'5_Cashflow'!H23</f>
        <v>11670.51668055</v>
      </c>
    </row>
    <row r="6" customFormat="false" ht="15" hidden="false" customHeight="true" outlineLevel="0" collapsed="false">
      <c r="A6" s="35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198</v>
      </c>
      <c r="B8" s="30" t="n">
        <f aca="false">SUM(B5:B7)</f>
        <v>330</v>
      </c>
      <c r="C8" s="30" t="n">
        <f aca="false">SUM(C5:C7)</f>
        <v>163</v>
      </c>
      <c r="D8" s="30" t="n">
        <f aca="false">SUM(D5:D7)</f>
        <v>-7.57673377999998</v>
      </c>
      <c r="E8" s="30" t="n">
        <f aca="false">SUM(E5:E7)</f>
        <v>555.940588352</v>
      </c>
      <c r="F8" s="30" t="n">
        <f aca="false">SUM(F5:F7)</f>
        <v>2282.961931451</v>
      </c>
      <c r="G8" s="30" t="n">
        <f aca="false">SUM(G5:G7)</f>
        <v>5958.737295517</v>
      </c>
      <c r="H8" s="30" t="n">
        <f aca="false">SUM(H5:H7)</f>
        <v>12660.51668055</v>
      </c>
    </row>
    <row r="9" customFormat="false" ht="15" hidden="false" customHeight="true" outlineLevel="0" collapsed="false">
      <c r="A9" s="35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201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8" t="n">
        <f aca="false">B8+B11</f>
        <v>460</v>
      </c>
      <c r="C12" s="38" t="n">
        <f aca="false">C8+C11</f>
        <v>423</v>
      </c>
      <c r="D12" s="38" t="n">
        <f aca="false">D8+D11</f>
        <v>392.42326622</v>
      </c>
      <c r="E12" s="38" t="n">
        <f aca="false">E8+E11</f>
        <v>1125.940588352</v>
      </c>
      <c r="F12" s="38" t="n">
        <f aca="false">F8+F11</f>
        <v>3052.961931451</v>
      </c>
      <c r="G12" s="38" t="n">
        <f aca="false">G8+G11</f>
        <v>6968.737295517</v>
      </c>
      <c r="H12" s="38" t="n">
        <f aca="false">H8+H11</f>
        <v>13960.51668055</v>
      </c>
    </row>
    <row r="14" customFormat="false" ht="15" hidden="false" customHeight="true" outlineLevel="0" collapsed="false">
      <c r="A14" s="31" t="s">
        <v>203</v>
      </c>
    </row>
    <row r="15" customFormat="false" ht="15" hidden="false" customHeight="true" outlineLevel="0" collapsed="false">
      <c r="A15" s="35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206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40" t="s">
        <v>207</v>
      </c>
      <c r="B18" s="41" t="n">
        <f aca="false">SUM(B15:B17)</f>
        <v>20</v>
      </c>
      <c r="C18" s="41" t="n">
        <f aca="false">SUM(C15:C17)</f>
        <v>190</v>
      </c>
      <c r="D18" s="41" t="n">
        <f aca="false">SUM(D15:D17)</f>
        <v>218</v>
      </c>
      <c r="E18" s="41" t="n">
        <f aca="false">SUM(E15:E17)</f>
        <v>260</v>
      </c>
      <c r="F18" s="41" t="n">
        <f aca="false">SUM(F15:F17)</f>
        <v>320</v>
      </c>
      <c r="G18" s="41" t="n">
        <f aca="false">SUM(G15:G17)</f>
        <v>400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208</v>
      </c>
      <c r="B19" s="37" t="n">
        <f aca="false">MAX(0,'3_Interest_Repayment'!I4/1000-B17)</f>
        <v>529.62</v>
      </c>
      <c r="C19" s="37" t="n">
        <f aca="false">MAX(0,'3_Interest_Repayment'!I5/1000-C17)</f>
        <v>571.08297</v>
      </c>
      <c r="D19" s="37" t="n">
        <f aca="false">MAX(0,'3_Interest_Repayment'!I6/1000-D17)</f>
        <v>426.866376</v>
      </c>
      <c r="E19" s="37" t="n">
        <f aca="false">MAX(0,'3_Interest_Repayment'!I7/1000-E17)</f>
        <v>282.649782</v>
      </c>
      <c r="F19" s="37" t="n">
        <f aca="false">MAX(0,'3_Interest_Repayment'!I8/1000-F17)</f>
        <v>138.433188</v>
      </c>
      <c r="G19" s="37" t="n">
        <f aca="false">MAX(0,'3_Interest_Repayment'!I9/1000-G17)</f>
        <v>0</v>
      </c>
      <c r="H19" s="37" t="n">
        <f aca="false">MAX(0,'3_Interest_Repayment'!I10/1000-H17)</f>
        <v>1.14596332423389E-013</v>
      </c>
    </row>
    <row r="20" customFormat="false" ht="15" hidden="false" customHeight="true" outlineLevel="0" collapsed="false">
      <c r="A20" s="40" t="s">
        <v>209</v>
      </c>
      <c r="B20" s="41" t="n">
        <f aca="false">B19</f>
        <v>529.62</v>
      </c>
      <c r="C20" s="41" t="n">
        <f aca="false">C19</f>
        <v>571.08297</v>
      </c>
      <c r="D20" s="41" t="n">
        <f aca="false">D19</f>
        <v>426.866376</v>
      </c>
      <c r="E20" s="41" t="n">
        <f aca="false">E19</f>
        <v>282.649782</v>
      </c>
      <c r="F20" s="41" t="n">
        <f aca="false">F19</f>
        <v>138.433188</v>
      </c>
      <c r="G20" s="41" t="n">
        <f aca="false">G19</f>
        <v>0</v>
      </c>
      <c r="H20" s="41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8" t="n">
        <f aca="false">B18+B20</f>
        <v>549.62</v>
      </c>
      <c r="C21" s="38" t="n">
        <f aca="false">C18+C20</f>
        <v>761.08297</v>
      </c>
      <c r="D21" s="38" t="n">
        <f aca="false">D18+D20</f>
        <v>644.866376</v>
      </c>
      <c r="E21" s="38" t="n">
        <f aca="false">E18+E20</f>
        <v>542.649782</v>
      </c>
      <c r="F21" s="38" t="n">
        <f aca="false">F18+F20</f>
        <v>458.433188</v>
      </c>
      <c r="G21" s="38" t="n">
        <f aca="false">G18+G20</f>
        <v>400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211</v>
      </c>
    </row>
    <row r="24" customFormat="false" ht="15" hidden="false" customHeight="true" outlineLevel="0" collapsed="false">
      <c r="A24" s="35" t="s">
        <v>212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5" t="s">
        <v>213</v>
      </c>
      <c r="B25" s="36" t="n">
        <f aca="false">'4_PnL_Forecast'!B39</f>
        <v>-359.62</v>
      </c>
      <c r="C25" s="37" t="n">
        <f aca="false">B25+'4_PnL_Forecast'!C39</f>
        <v>-708.08297</v>
      </c>
      <c r="D25" s="37" t="n">
        <f aca="false">C25+'4_PnL_Forecast'!D39</f>
        <v>-769.44310978</v>
      </c>
      <c r="E25" s="37" t="n">
        <f aca="false">D25+'4_PnL_Forecast'!E39</f>
        <v>-116.709193648</v>
      </c>
      <c r="F25" s="37" t="n">
        <f aca="false">E25+'4_PnL_Forecast'!F39</f>
        <v>1679.528743451</v>
      </c>
      <c r="G25" s="37" t="n">
        <f aca="false">F25+'4_PnL_Forecast'!G39</f>
        <v>5419.520701517</v>
      </c>
      <c r="H25" s="37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7" t="n">
        <f aca="false">B12-B21-B24-B25</f>
        <v>70</v>
      </c>
      <c r="C26" s="37" t="n">
        <f aca="false">C12-C21-C24-C25</f>
        <v>170</v>
      </c>
      <c r="D26" s="37" t="n">
        <f aca="false">D12-D21-D24-D25</f>
        <v>317</v>
      </c>
      <c r="E26" s="37" t="n">
        <f aca="false">E12-E21-E24-E25</f>
        <v>500</v>
      </c>
      <c r="F26" s="37" t="n">
        <f aca="false">F12-F21-F24-F25</f>
        <v>715</v>
      </c>
      <c r="G26" s="37" t="n">
        <f aca="false">G12-G21-G24-G25</f>
        <v>949.216594</v>
      </c>
      <c r="H26" s="37" t="n">
        <f aca="false">H12-H21-H24-H25</f>
        <v>1215</v>
      </c>
    </row>
    <row r="27" customFormat="false" ht="15" hidden="false" customHeight="true" outlineLevel="0" collapsed="false">
      <c r="A27" s="13" t="s">
        <v>215</v>
      </c>
      <c r="B27" s="38" t="n">
        <f aca="false">B24+B25+B26</f>
        <v>-89.62</v>
      </c>
      <c r="C27" s="38" t="n">
        <f aca="false">C24+C25+C26</f>
        <v>-338.08297</v>
      </c>
      <c r="D27" s="38" t="n">
        <f aca="false">D24+D25+D26</f>
        <v>-252.44310978</v>
      </c>
      <c r="E27" s="38" t="n">
        <f aca="false">E24+E25+E26</f>
        <v>583.290806352</v>
      </c>
      <c r="F27" s="38" t="n">
        <f aca="false">F24+F25+F26</f>
        <v>2594.528743451</v>
      </c>
      <c r="G27" s="38" t="n">
        <f aca="false">G24+G25+G26</f>
        <v>6568.737295517</v>
      </c>
      <c r="H27" s="38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8" t="n">
        <f aca="false">B21+B27</f>
        <v>460</v>
      </c>
      <c r="C29" s="38" t="n">
        <f aca="false">C21+C27</f>
        <v>423</v>
      </c>
      <c r="D29" s="38" t="n">
        <f aca="false">D21+D27</f>
        <v>392.42326622</v>
      </c>
      <c r="E29" s="38" t="n">
        <f aca="false">E21+E27</f>
        <v>1125.940588352</v>
      </c>
      <c r="F29" s="38" t="n">
        <f aca="false">F21+F27</f>
        <v>3052.961931451</v>
      </c>
      <c r="G29" s="38" t="n">
        <f aca="false">G21+G27</f>
        <v>6968.737295517</v>
      </c>
      <c r="H29" s="38" t="n">
        <f aca="false">H21+H27</f>
        <v>13960.51668055</v>
      </c>
    </row>
    <row r="30" customFormat="false" ht="15" hidden="false" customHeight="true" outlineLevel="0" collapsed="false">
      <c r="A30" s="11" t="s">
        <v>217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218</v>
      </c>
      <c r="B32" s="43" t="n">
        <f aca="false">IFERROR(B8/B18,0)</f>
        <v>16.5</v>
      </c>
      <c r="C32" s="43" t="n">
        <f aca="false">IFERROR(C8/C18,0)</f>
        <v>0.857894736842105</v>
      </c>
      <c r="D32" s="43" t="n">
        <f aca="false">IFERROR(D8/D18,0)</f>
        <v>-0.0347556595412843</v>
      </c>
      <c r="E32" s="43" t="n">
        <f aca="false">IFERROR(E8/E18,0)</f>
        <v>2.13823303212308</v>
      </c>
      <c r="F32" s="43" t="n">
        <f aca="false">IFERROR(F8/F18,0)</f>
        <v>7.13425603578438</v>
      </c>
      <c r="G32" s="43" t="n">
        <f aca="false">IFERROR(G8/G18,0)</f>
        <v>14.8968432387925</v>
      </c>
      <c r="H32" s="43" t="n">
        <f aca="false">IFERROR(H8/H18,0)</f>
        <v>35.1681018904167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803100</v>
      </c>
      <c r="C4" s="27" t="n">
        <f aca="false">B4/$B$13</f>
        <v>0.831280405755098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0</v>
      </c>
      <c r="C5" s="27" t="n">
        <f aca="false">B5/$B$13</f>
        <v>0</v>
      </c>
      <c r="D5" s="14"/>
    </row>
    <row r="6" customFormat="false" ht="15" hidden="false" customHeight="true" outlineLevel="0" collapsed="false">
      <c r="A6" s="14" t="s">
        <v>228</v>
      </c>
      <c r="B6" s="6" t="n">
        <v>50000</v>
      </c>
      <c r="C6" s="27" t="n">
        <f aca="false">B6/$B$13</f>
        <v>0.0517544767622399</v>
      </c>
      <c r="D6" s="7" t="s">
        <v>229</v>
      </c>
    </row>
    <row r="7" customFormat="false" ht="15" hidden="false" customHeight="true" outlineLevel="0" collapsed="false">
      <c r="A7" s="14" t="s">
        <v>230</v>
      </c>
      <c r="B7" s="6" t="n">
        <v>35000</v>
      </c>
      <c r="C7" s="27" t="n">
        <f aca="false">B7/$B$13</f>
        <v>0.036228133733568</v>
      </c>
      <c r="D7" s="7" t="s">
        <v>231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7" t="n">
        <f aca="false">B8/$B$13</f>
        <v>0.02587723838112</v>
      </c>
      <c r="D8" s="7" t="s">
        <v>232</v>
      </c>
    </row>
    <row r="9" customFormat="false" ht="15" hidden="false" customHeight="true" outlineLevel="0" collapsed="false">
      <c r="A9" s="14" t="s">
        <v>233</v>
      </c>
      <c r="B9" s="6" t="n">
        <v>15000</v>
      </c>
      <c r="C9" s="27" t="n">
        <f aca="false">B9/$B$13</f>
        <v>0.015526343028672</v>
      </c>
      <c r="D9" s="7" t="s">
        <v>234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7" t="n">
        <f aca="false">B10/$B$13</f>
        <v>0.010350895352448</v>
      </c>
      <c r="D10" s="7" t="s">
        <v>235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7" t="n">
        <f aca="false">B11/$B$13</f>
        <v>0.00828071628195839</v>
      </c>
      <c r="D11" s="7" t="s">
        <v>236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7" t="n">
        <f aca="false">B12/$B$13</f>
        <v>0.020701790704896</v>
      </c>
      <c r="D12" s="7" t="s">
        <v>237</v>
      </c>
    </row>
    <row r="13" customFormat="false" ht="15" hidden="false" customHeight="true" outlineLevel="0" collapsed="false">
      <c r="A13" s="13" t="s">
        <v>238</v>
      </c>
      <c r="B13" s="21" t="n">
        <f aca="false">SUM(B4:B12)</f>
        <v>966100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240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5" t="s">
        <v>241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242</v>
      </c>
      <c r="B5" s="45" t="s">
        <v>243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156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5" t="s">
        <v>168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5" t="s">
        <v>244</v>
      </c>
      <c r="B8" s="36" t="n">
        <f aca="false">'5_Cashflow'!B23</f>
        <v>300</v>
      </c>
      <c r="C8" s="36" t="n">
        <f aca="false">'5_Cashflow'!C23</f>
        <v>98</v>
      </c>
      <c r="D8" s="36" t="n">
        <f aca="false">'5_Cashflow'!D23</f>
        <v>-142.57673378</v>
      </c>
      <c r="E8" s="36" t="n">
        <f aca="false">'5_Cashflow'!E23</f>
        <v>305.940588352</v>
      </c>
      <c r="F8" s="36" t="n">
        <f aca="false">'5_Cashflow'!F23</f>
        <v>1852.961931451</v>
      </c>
      <c r="G8" s="36" t="n">
        <f aca="false">'5_Cashflow'!G23</f>
        <v>5288.737295517</v>
      </c>
      <c r="H8" s="36" t="n">
        <f aca="false">'5_Cashflow'!H23</f>
        <v>11670.51668055</v>
      </c>
    </row>
    <row r="9" customFormat="false" ht="15" hidden="false" customHeight="true" outlineLevel="0" collapsed="false">
      <c r="A9" s="46" t="s">
        <v>245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246</v>
      </c>
      <c r="B10" s="48" t="n">
        <f aca="false">IFERROR('4_PnL_Forecast'!B31/MAX(1,('3_Interest_Repayment'!G4+'3_Interest_Repayment'!H4)/1000),0)</f>
        <v>-340</v>
      </c>
      <c r="C10" s="48" t="n">
        <f aca="false">IFERROR('4_PnL_Forecast'!C31/MAX(1,('3_Interest_Repayment'!G5+'3_Interest_Repayment'!H5)/1000),0)</f>
        <v>-307</v>
      </c>
      <c r="D10" s="48" t="n">
        <f aca="false">IFERROR('4_PnL_Forecast'!D31/MAX(1,('3_Interest_Repayment'!G6+'3_Interest_Repayment'!H6)/1000),0)</f>
        <v>0.263188883656218</v>
      </c>
      <c r="E10" s="48" t="n">
        <f aca="false">IFERROR('4_PnL_Forecast'!E31/MAX(1,('3_Interest_Repayment'!G7+'3_Interest_Repayment'!H7)/1000),0)</f>
        <v>5.36637103693088</v>
      </c>
      <c r="F10" s="48" t="n">
        <f aca="false">IFERROR('4_PnL_Forecast'!F31/MAX(1,('3_Interest_Repayment'!G8+'3_Interest_Repayment'!H8)/1000),0)</f>
        <v>14.4524842430626</v>
      </c>
      <c r="G10" s="48" t="n">
        <f aca="false">IFERROR('4_PnL_Forecast'!G31/MAX(1,('3_Interest_Repayment'!G9+'3_Interest_Repayment'!H9)/1000),0)</f>
        <v>31.1547460265565</v>
      </c>
      <c r="H10" s="48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248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249</v>
      </c>
      <c r="B14" s="37" t="n">
        <f aca="false">B13*IFERROR('4_PnL_Forecast'!B17/'4_PnL_Forecast'!B9,0)</f>
        <v>-7</v>
      </c>
      <c r="C14" s="37" t="n">
        <f aca="false">C13*IFERROR('4_PnL_Forecast'!C17/'4_PnL_Forecast'!C9,0)</f>
        <v>193.9</v>
      </c>
      <c r="D14" s="37" t="n">
        <f aca="false">D13*IFERROR('4_PnL_Forecast'!D17/'4_PnL_Forecast'!D9,0)</f>
        <v>668.5</v>
      </c>
      <c r="E14" s="37" t="n">
        <f aca="false">E13*IFERROR('4_PnL_Forecast'!E17/'4_PnL_Forecast'!E9,0)</f>
        <v>1718.5</v>
      </c>
      <c r="F14" s="37" t="n">
        <f aca="false">F13*IFERROR('4_PnL_Forecast'!F17/'4_PnL_Forecast'!F9,0)</f>
        <v>3272.5</v>
      </c>
      <c r="G14" s="37" t="n">
        <f aca="false">G13*IFERROR('4_PnL_Forecast'!G17/'4_PnL_Forecast'!G9,0)</f>
        <v>5628</v>
      </c>
      <c r="H14" s="37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250</v>
      </c>
      <c r="B15" s="32" t="n">
        <f aca="false">B14-'4_PnL_Forecast'!B29</f>
        <v>-337</v>
      </c>
      <c r="C15" s="32" t="n">
        <f aca="false">C14-'4_PnL_Forecast'!C29</f>
        <v>-390.1</v>
      </c>
      <c r="D15" s="32" t="n">
        <f aca="false">D14-'4_PnL_Forecast'!D29</f>
        <v>-234.5</v>
      </c>
      <c r="E15" s="32" t="n">
        <f aca="false">E14-'4_PnL_Forecast'!E29</f>
        <v>266.5</v>
      </c>
      <c r="F15" s="32" t="n">
        <f aca="false">F14-'4_PnL_Forecast'!F29</f>
        <v>1144.5</v>
      </c>
      <c r="G15" s="32" t="n">
        <f aca="false">G14-'4_PnL_Forecast'!G29</f>
        <v>2746</v>
      </c>
      <c r="H15" s="32" t="n">
        <f aca="false">H14-'4_PnL_Forecast'!H29</f>
        <v>5339</v>
      </c>
    </row>
    <row r="16" customFormat="false" ht="15" hidden="false" customHeight="true" outlineLevel="0" collapsed="false">
      <c r="A16" s="3" t="s">
        <v>251</v>
      </c>
      <c r="B16" s="49" t="n">
        <f aca="false">IFERROR(B15/MAX(1,('3_Interest_Repayment'!G4+'3_Interest_Repayment'!H4)/1000),0)</f>
        <v>-337</v>
      </c>
      <c r="C16" s="49" t="n">
        <f aca="false">IFERROR(C15/MAX(1,('3_Interest_Repayment'!G5+'3_Interest_Repayment'!H5)/1000),0)</f>
        <v>-390.1</v>
      </c>
      <c r="D16" s="49" t="n">
        <f aca="false">IFERROR(D15/MAX(1,('3_Interest_Repayment'!G6+'3_Interest_Repayment'!H6)/1000),0)</f>
        <v>-1.18688063879583</v>
      </c>
      <c r="E16" s="49" t="n">
        <f aca="false">IFERROR(E15/MAX(1,('3_Interest_Repayment'!G7+'3_Interest_Repayment'!H7)/1000),0)</f>
        <v>1.42586030044076</v>
      </c>
      <c r="F16" s="49" t="n">
        <f aca="false">IFERROR(F15/MAX(1,('3_Interest_Repayment'!G8+'3_Interest_Repayment'!H8)/1000),0)</f>
        <v>6.49425528707702</v>
      </c>
      <c r="G16" s="49" t="n">
        <f aca="false">IFERROR(G15/MAX(1,('3_Interest_Repayment'!G9+'3_Interest_Repayment'!H9)/1000),0)</f>
        <v>16.5860668066933</v>
      </c>
      <c r="H16" s="49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252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253</v>
      </c>
      <c r="B19" s="50" t="n">
        <f aca="false">'1_Cover_Assumptions'!B51</f>
        <v>0.778729558349093</v>
      </c>
      <c r="D19" s="11" t="s">
        <v>254</v>
      </c>
    </row>
    <row r="20" customFormat="false" ht="15" hidden="false" customHeight="true" outlineLevel="0" collapsed="false">
      <c r="A20" s="35" t="s">
        <v>255</v>
      </c>
      <c r="B20" s="47" t="n">
        <f aca="false">MIN('6_Balance_Sheet'!B32:H32)</f>
        <v>-0.0347556595412843</v>
      </c>
      <c r="D20" s="11" t="s">
        <v>256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2026-05-09T16:51:40Z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