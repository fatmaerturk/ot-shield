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<sst xmlns="http://schemas.openxmlformats.org/spreadsheetml/2006/main" count="290" uniqueCount="259">
  <si>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</si>
  <si>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</si>
  <si>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</si>
  <si>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</si>
  <si>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</si>
  <si>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</si>
  <si>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</si>
  <si>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</si>
  <si>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</si>
  <si>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</si>
  <si>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</si>
  <si>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</si>
  <si>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</si>
  <si>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</si>
  <si>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</si>
  <si>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</si>
  <si>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</si>
  <si>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</si>
  <si>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</si>
  <si>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</si>
  <si>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</si>
  <si>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</si>
  <si>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</si>
  <si>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</si>
  <si>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</si>
  <si>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</si>
  <si>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</si>
  <si>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</si>
  <si>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</si>
  <si>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</si>
  <si>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</si>
  <si>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</si>
  <si>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</si>
  <si>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</si>
  <si>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</si>
  <si>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</si>
  <si>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</si>
  <si>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</si>
  <si>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</si>
  <si>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</si>
  <si>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</si>
  <si>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</si>
  <si>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</si>
  <si>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</si>
  <si>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</si>
  <si>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</si>
  <si>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</si>
  <si>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</si>
  <si>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</si>
  <si>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</si>
  <si>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</si>
  <si>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</si>
  <si>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 (new hire — M1-M3 onboarding)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</si>
  <si>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</si>
  <si>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</si>
  <si>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</si>
  <si>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day/week)</t>
  </si>
  <si>
    <t xml:space="preserve">(£800/day × 5 days × 52 wks = £208k FT-eq)</t>
  </si>
  <si>
    <t xml:space="preserve">Jon — Senior Cyber Security Expert and AI Verifier (0.5 FTE part-time)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</si>
  <si>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</si>
  <si>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</si>
  <si>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</si>
  <si>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</si>
  <si>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</si>
  <si>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</si>
  <si>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</si>
  <si>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</si>
  <si>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</si>
  <si>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</si>
  <si>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</si>
  <si>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</si>
  <si>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</si>
  <si>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</si>
  <si>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(TBC — sources under live evaluation)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</si>
  <si>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</si>
  <si>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</si>
  <si>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</si>
  <si>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</si>
  <si>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</si>
  <si>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MATCHED FUNDING NOTE: The £190,000 matched funding requirement will be sourced from one or more of the following committed pathways, with confirmation prior to Stage 2 if shortlisted: (a) Founder director's loan (subject to availability); (b) HMGCC Co-Creation Phase 1 award (decision 22 May 2026, application active); (c) R&amp;D tax credit advance against FY26 claim (under quote with R&amp;D advisor); (d) Pilot revenue commitment letter from first CNI lighthouse customer (in negotiation, target signing by M9). Status: TBC — multiple pathways open.</t>
  </si>
  <si>
    <t xml:space="preserve">Y3 TRANSITIONAL CASH NOTE: Year 3 (FY28) shows a transitional cash position (~£-143k) due to loan repayment commencement coinciding with operating revenue scaling phase. Mitigations available: (i) R&amp;D tax credit refund expected Q1 FY28 (~£100-150k against accumulated R&amp;D spend), (ii) M18 ARR run-rate of £350k+ delivers Y3 cash inflow, (iii) Innovate UK Loans hardship grace period extension if needed, (iv) trade payable management flex (30-60 days). Cashflow returns to positive in Y4 (£306k+) with strong scaling thereafter (£11M closing cash by Y7).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</si>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</sst>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6" t="n">
        <v>208000</v>
      </c>
      <c r="C32" s="15" t="n">
        <v>0.2</v>
      </c>
      <c r="D32" s="16" t="n">
        <v>18</v>
      </c>
      <c r="E32" s="17" t="n">
        <f aca="false">B32*C32*D32/12</f>
        <v>62400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0" t="n">
        <f aca="false">E47+E48</f>
        <v>1070566.66666667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1" t="n">
        <f aca="false">B11/E47</f>
        <v>0.794942650565924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79.5" hidden="false" customHeight="true" outlineLevel="0" collapsed="false">
      <c r="A55" s="22" t="s">
        <v>79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79.5" hidden="false" customHeight="true" outlineLevel="0" collapsed="false">
      <c r="A57" s="22" t="s">
        <v>80</v>
      </c>
      <c r="B57" s="22"/>
      <c r="C57" s="22"/>
      <c r="D57" s="22"/>
      <c r="E57" s="22"/>
      <c r="F57" s="22"/>
    </row>
    <row r="58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55:F55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82</v>
      </c>
      <c r="B3" s="23" t="s">
        <v>83</v>
      </c>
      <c r="C3" s="23" t="s">
        <v>84</v>
      </c>
      <c r="D3" s="23" t="s">
        <v>85</v>
      </c>
      <c r="E3" s="23" t="s">
        <v>86</v>
      </c>
      <c r="F3" s="23" t="s">
        <v>87</v>
      </c>
    </row>
    <row r="4" customFormat="false" ht="15" hidden="false" customHeight="true" outlineLevel="0" collapsed="false">
      <c r="A4" s="24" t="n">
        <v>1</v>
      </c>
      <c r="B4" s="24" t="s">
        <v>88</v>
      </c>
      <c r="C4" s="25" t="s">
        <v>21</v>
      </c>
      <c r="D4" s="6" t="n">
        <v>140000</v>
      </c>
      <c r="E4" s="17" t="n">
        <f aca="false">D4</f>
        <v>140000</v>
      </c>
      <c r="F4" s="14" t="s">
        <v>89</v>
      </c>
    </row>
    <row r="5" customFormat="false" ht="15" hidden="false" customHeight="true" outlineLevel="0" collapsed="false">
      <c r="A5" s="24" t="n">
        <v>2</v>
      </c>
      <c r="B5" s="24" t="s">
        <v>90</v>
      </c>
      <c r="C5" s="25" t="s">
        <v>91</v>
      </c>
      <c r="D5" s="6" t="n">
        <v>140000</v>
      </c>
      <c r="E5" s="17" t="n">
        <f aca="false">E4+D5</f>
        <v>280000</v>
      </c>
      <c r="F5" s="14" t="s">
        <v>92</v>
      </c>
    </row>
    <row r="6" customFormat="false" ht="15" hidden="false" customHeight="true" outlineLevel="0" collapsed="false">
      <c r="A6" s="24" t="n">
        <v>3</v>
      </c>
      <c r="B6" s="24" t="s">
        <v>93</v>
      </c>
      <c r="C6" s="25" t="s">
        <v>94</v>
      </c>
      <c r="D6" s="6" t="n">
        <v>120000</v>
      </c>
      <c r="E6" s="17" t="n">
        <f aca="false">E5+D6</f>
        <v>400000</v>
      </c>
      <c r="F6" s="14" t="s">
        <v>95</v>
      </c>
    </row>
    <row r="7" customFormat="false" ht="15" hidden="false" customHeight="true" outlineLevel="0" collapsed="false">
      <c r="A7" s="24" t="n">
        <v>4</v>
      </c>
      <c r="B7" s="24" t="s">
        <v>96</v>
      </c>
      <c r="C7" s="25" t="s">
        <v>97</v>
      </c>
      <c r="D7" s="6" t="n">
        <v>120000</v>
      </c>
      <c r="E7" s="17" t="n">
        <f aca="false">E6+D7</f>
        <v>520000</v>
      </c>
      <c r="F7" s="14" t="s">
        <v>98</v>
      </c>
    </row>
    <row r="8" customFormat="false" ht="15" hidden="false" customHeight="true" outlineLevel="0" collapsed="false">
      <c r="A8" s="24" t="n">
        <v>5</v>
      </c>
      <c r="B8" s="24" t="s">
        <v>99</v>
      </c>
      <c r="C8" s="25" t="s">
        <v>100</v>
      </c>
      <c r="D8" s="6" t="n">
        <v>100000</v>
      </c>
      <c r="E8" s="17" t="n">
        <f aca="false">E7+D8</f>
        <v>620000</v>
      </c>
      <c r="F8" s="14" t="s">
        <v>101</v>
      </c>
    </row>
    <row r="9" customFormat="false" ht="15" hidden="false" customHeight="true" outlineLevel="0" collapsed="false">
      <c r="A9" s="24" t="n">
        <v>6</v>
      </c>
      <c r="B9" s="24" t="s">
        <v>102</v>
      </c>
      <c r="C9" s="25" t="s">
        <v>103</v>
      </c>
      <c r="D9" s="6" t="n">
        <v>80000</v>
      </c>
      <c r="E9" s="17" t="n">
        <f aca="false">E8+D9</f>
        <v>700000</v>
      </c>
      <c r="F9" s="14" t="s">
        <v>104</v>
      </c>
    </row>
    <row r="10" customFormat="false" ht="15" hidden="false" customHeight="true" outlineLevel="0" collapsed="false">
      <c r="A10" s="13" t="s">
        <v>105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</row>
    <row r="4" customFormat="false" ht="15" hidden="false" customHeight="true" outlineLevel="0" collapsed="false">
      <c r="A4" s="14" t="s">
        <v>116</v>
      </c>
      <c r="B4" s="14" t="s">
        <v>117</v>
      </c>
      <c r="C4" s="6" t="n">
        <v>0</v>
      </c>
      <c r="D4" s="6" t="n">
        <v>520000</v>
      </c>
      <c r="E4" s="26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118</v>
      </c>
      <c r="B5" s="14" t="s">
        <v>119</v>
      </c>
      <c r="C5" s="17" t="n">
        <f aca="false">I4</f>
        <v>529620</v>
      </c>
      <c r="D5" s="6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120</v>
      </c>
      <c r="B6" s="14" t="s">
        <v>121</v>
      </c>
      <c r="C6" s="17" t="n">
        <f aca="false">I5</f>
        <v>721082.97</v>
      </c>
      <c r="D6" s="6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122</v>
      </c>
      <c r="B7" s="14" t="s">
        <v>123</v>
      </c>
      <c r="C7" s="17" t="n">
        <f aca="false">I6</f>
        <v>576866.376</v>
      </c>
      <c r="D7" s="6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124</v>
      </c>
      <c r="B8" s="14" t="s">
        <v>125</v>
      </c>
      <c r="C8" s="17" t="n">
        <f aca="false">I7</f>
        <v>432649.782</v>
      </c>
      <c r="D8" s="6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126</v>
      </c>
      <c r="B9" s="14" t="s">
        <v>127</v>
      </c>
      <c r="C9" s="17" t="n">
        <f aca="false">I8</f>
        <v>288433.188</v>
      </c>
      <c r="D9" s="6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128</v>
      </c>
      <c r="B10" s="14" t="s">
        <v>129</v>
      </c>
      <c r="C10" s="17" t="n">
        <f aca="false">I9</f>
        <v>144216.594</v>
      </c>
      <c r="D10" s="6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130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131</v>
      </c>
    </row>
    <row r="14" customFormat="false" ht="15" hidden="false" customHeight="true" outlineLevel="0" collapsed="false">
      <c r="A14" s="22" t="s">
        <v>132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A15" s="22" t="s">
        <v>133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22" t="s">
        <v>134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A17" s="22" t="s">
        <v>135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2" t="s">
        <v>136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14" t="s">
        <v>146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147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148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149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150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151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152</v>
      </c>
    </row>
    <row r="12" customFormat="false" ht="15" hidden="false" customHeight="true" outlineLevel="0" collapsed="false">
      <c r="A12" s="14" t="s">
        <v>153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154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155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156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157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158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0" t="s">
        <v>159</v>
      </c>
    </row>
    <row r="21" customFormat="false" ht="15" hidden="false" customHeight="true" outlineLevel="0" collapsed="false">
      <c r="A21" s="14" t="s">
        <v>160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161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162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163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164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165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166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167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168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169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170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4" t="s">
        <v>171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172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173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174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175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176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0" t="s">
        <v>178</v>
      </c>
    </row>
    <row r="5" customFormat="false" ht="15" hidden="false" customHeight="true" outlineLevel="0" collapsed="false">
      <c r="A5" s="34" t="s">
        <v>179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180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181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182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183</v>
      </c>
    </row>
    <row r="11" customFormat="false" ht="15" hidden="false" customHeight="true" outlineLevel="0" collapsed="false">
      <c r="A11" s="34" t="s">
        <v>184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185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186</v>
      </c>
    </row>
    <row r="15" customFormat="false" ht="15" hidden="false" customHeight="true" outlineLevel="0" collapsed="false">
      <c r="A15" s="34" t="s">
        <v>187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188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189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190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191</v>
      </c>
      <c r="B19" s="31" t="n">
        <f aca="false">B15+B16+B17+B18</f>
        <v>710</v>
      </c>
      <c r="C19" s="31" t="n">
        <f aca="false">C15+C16+C17+C18</f>
        <v>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192</v>
      </c>
      <c r="B21" s="33" t="n">
        <f aca="false">B8+B12+B19</f>
        <v>300</v>
      </c>
      <c r="C21" s="33" t="n">
        <f aca="false">C8+C12+C19</f>
        <v>-202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193</v>
      </c>
      <c r="B22" s="8" t="n">
        <v>0</v>
      </c>
      <c r="C22" s="36" t="n">
        <f aca="false">B23</f>
        <v>300</v>
      </c>
      <c r="D22" s="36" t="n">
        <f aca="false">C23</f>
        <v>98</v>
      </c>
      <c r="E22" s="36" t="n">
        <f aca="false">D23</f>
        <v>-142.57673378</v>
      </c>
      <c r="F22" s="36" t="n">
        <f aca="false">E23</f>
        <v>305.940588352</v>
      </c>
      <c r="G22" s="36" t="n">
        <f aca="false">F23</f>
        <v>1852.961931451</v>
      </c>
      <c r="H22" s="36" t="n">
        <f aca="false">G23</f>
        <v>5288.737295517</v>
      </c>
    </row>
    <row r="23" customFormat="false" ht="15" hidden="false" customHeight="true" outlineLevel="0" collapsed="false">
      <c r="A23" s="13" t="s">
        <v>194</v>
      </c>
      <c r="B23" s="37" t="n">
        <f aca="false">B22+B21</f>
        <v>300</v>
      </c>
      <c r="C23" s="37" t="n">
        <f aca="false">C22+C21</f>
        <v>98</v>
      </c>
      <c r="D23" s="37" t="n">
        <f aca="false">D22+D21</f>
        <v>-142.57673378</v>
      </c>
      <c r="E23" s="37" t="n">
        <f aca="false">E22+E21</f>
        <v>305.940588352</v>
      </c>
      <c r="F23" s="37" t="n">
        <f aca="false">F22+F21</f>
        <v>1852.961931451</v>
      </c>
      <c r="G23" s="37" t="n">
        <f aca="false">G22+G21</f>
        <v>5288.737295517</v>
      </c>
      <c r="H23" s="37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0" t="s">
        <v>196</v>
      </c>
    </row>
    <row r="5" customFormat="false" ht="15" hidden="false" customHeight="true" outlineLevel="0" collapsed="false">
      <c r="A5" s="34" t="s">
        <v>197</v>
      </c>
      <c r="B5" s="35" t="n">
        <f aca="false">'5_Cashflow'!B23</f>
        <v>300</v>
      </c>
      <c r="C5" s="35" t="n">
        <f aca="false">'5_Cashflow'!C23</f>
        <v>98</v>
      </c>
      <c r="D5" s="35" t="n">
        <f aca="false">'5_Cashflow'!D23</f>
        <v>-142.57673378</v>
      </c>
      <c r="E5" s="35" t="n">
        <f aca="false">'5_Cashflow'!E23</f>
        <v>305.940588352</v>
      </c>
      <c r="F5" s="35" t="n">
        <f aca="false">'5_Cashflow'!F23</f>
        <v>1852.961931451</v>
      </c>
      <c r="G5" s="35" t="n">
        <f aca="false">'5_Cashflow'!G23</f>
        <v>5288.737295517</v>
      </c>
      <c r="H5" s="35" t="n">
        <f aca="false">'5_Cashflow'!H23</f>
        <v>11670.51668055</v>
      </c>
    </row>
    <row r="6" customFormat="false" ht="15" hidden="false" customHeight="true" outlineLevel="0" collapsed="false">
      <c r="A6" s="34" t="s">
        <v>198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199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200</v>
      </c>
      <c r="B8" s="29" t="n">
        <f aca="false">SUM(B5:B7)</f>
        <v>330</v>
      </c>
      <c r="C8" s="29" t="n">
        <f aca="false">SUM(C5:C7)</f>
        <v>163</v>
      </c>
      <c r="D8" s="29" t="n">
        <f aca="false">SUM(D5:D7)</f>
        <v>-7.57673377999998</v>
      </c>
      <c r="E8" s="29" t="n">
        <f aca="false">SUM(E5:E7)</f>
        <v>555.940588352</v>
      </c>
      <c r="F8" s="29" t="n">
        <f aca="false">SUM(F5:F7)</f>
        <v>2282.961931451</v>
      </c>
      <c r="G8" s="29" t="n">
        <f aca="false">SUM(G5:G7)</f>
        <v>5958.737295517</v>
      </c>
      <c r="H8" s="29" t="n">
        <f aca="false">SUM(H5:H7)</f>
        <v>12660.51668055</v>
      </c>
    </row>
    <row r="9" customFormat="false" ht="15" hidden="false" customHeight="true" outlineLevel="0" collapsed="false">
      <c r="A9" s="34" t="s">
        <v>201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202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203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204</v>
      </c>
      <c r="B12" s="37" t="n">
        <f aca="false">B8+B11</f>
        <v>460</v>
      </c>
      <c r="C12" s="37" t="n">
        <f aca="false">C8+C11</f>
        <v>423</v>
      </c>
      <c r="D12" s="37" t="n">
        <f aca="false">D8+D11</f>
        <v>392.42326622</v>
      </c>
      <c r="E12" s="37" t="n">
        <f aca="false">E8+E11</f>
        <v>1125.940588352</v>
      </c>
      <c r="F12" s="37" t="n">
        <f aca="false">F8+F11</f>
        <v>3052.961931451</v>
      </c>
      <c r="G12" s="37" t="n">
        <f aca="false">G8+G11</f>
        <v>6968.737295517</v>
      </c>
      <c r="H12" s="37" t="n">
        <f aca="false">H8+H11</f>
        <v>13960.51668055</v>
      </c>
    </row>
    <row r="14" customFormat="false" ht="15" hidden="false" customHeight="true" outlineLevel="0" collapsed="false">
      <c r="A14" s="30" t="s">
        <v>205</v>
      </c>
    </row>
    <row r="15" customFormat="false" ht="15" hidden="false" customHeight="true" outlineLevel="0" collapsed="false">
      <c r="A15" s="34" t="s">
        <v>206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207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208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209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210</v>
      </c>
      <c r="B19" s="36" t="n">
        <f aca="false">MAX(0,'3_Interest_Repayment'!I4/1000-B17)</f>
        <v>529.62</v>
      </c>
      <c r="C19" s="36" t="n">
        <f aca="false">MAX(0,'3_Interest_Repayment'!I5/1000-C17)</f>
        <v>571.08297</v>
      </c>
      <c r="D19" s="36" t="n">
        <f aca="false">MAX(0,'3_Interest_Repayment'!I6/1000-D17)</f>
        <v>426.866376</v>
      </c>
      <c r="E19" s="36" t="n">
        <f aca="false">MAX(0,'3_Interest_Repayment'!I7/1000-E17)</f>
        <v>282.649782</v>
      </c>
      <c r="F19" s="36" t="n">
        <f aca="false">MAX(0,'3_Interest_Repayment'!I8/1000-F17)</f>
        <v>138.433188</v>
      </c>
      <c r="G19" s="36" t="n">
        <f aca="false">MAX(0,'3_Interest_Repayment'!I9/1000-G17)</f>
        <v>0</v>
      </c>
      <c r="H19" s="36" t="n">
        <f aca="false">MAX(0,'3_Interest_Repayment'!I10/1000-H17)</f>
        <v>1.14596332423389E-013</v>
      </c>
    </row>
    <row r="20" customFormat="false" ht="15" hidden="false" customHeight="true" outlineLevel="0" collapsed="false">
      <c r="A20" s="39" t="s">
        <v>211</v>
      </c>
      <c r="B20" s="40" t="n">
        <f aca="false">B19</f>
        <v>529.62</v>
      </c>
      <c r="C20" s="40" t="n">
        <f aca="false">C19</f>
        <v>571.08297</v>
      </c>
      <c r="D20" s="40" t="n">
        <f aca="false">D19</f>
        <v>426.866376</v>
      </c>
      <c r="E20" s="40" t="n">
        <f aca="false">E19</f>
        <v>282.649782</v>
      </c>
      <c r="F20" s="40" t="n">
        <f aca="false">F19</f>
        <v>138.433188</v>
      </c>
      <c r="G20" s="40" t="n">
        <f aca="false">G19</f>
        <v>0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212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400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213</v>
      </c>
    </row>
    <row r="24" customFormat="false" ht="15" hidden="false" customHeight="true" outlineLevel="0" collapsed="false">
      <c r="A24" s="34" t="s">
        <v>214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215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216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949.216594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217</v>
      </c>
      <c r="B27" s="37" t="n">
        <f aca="false">B24+B25+B26</f>
        <v>-89.62</v>
      </c>
      <c r="C27" s="37" t="n">
        <f aca="false">C24+C25+C26</f>
        <v>-338.08297</v>
      </c>
      <c r="D27" s="37" t="n">
        <f aca="false">D24+D25+D26</f>
        <v>-252.44310978</v>
      </c>
      <c r="E27" s="37" t="n">
        <f aca="false">E24+E25+E26</f>
        <v>583.290806352</v>
      </c>
      <c r="F27" s="37" t="n">
        <f aca="false">F24+F25+F26</f>
        <v>2594.528743451</v>
      </c>
      <c r="G27" s="37" t="n">
        <f aca="false">G24+G25+G26</f>
        <v>6568.737295517</v>
      </c>
      <c r="H27" s="37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218</v>
      </c>
      <c r="B29" s="37" t="n">
        <f aca="false">B21+B27</f>
        <v>460</v>
      </c>
      <c r="C29" s="37" t="n">
        <f aca="false">C21+C27</f>
        <v>423</v>
      </c>
      <c r="D29" s="37" t="n">
        <f aca="false">D21+D27</f>
        <v>392.42326622</v>
      </c>
      <c r="E29" s="37" t="n">
        <f aca="false">E21+E27</f>
        <v>1125.940588352</v>
      </c>
      <c r="F29" s="37" t="n">
        <f aca="false">F21+F27</f>
        <v>3052.961931451</v>
      </c>
      <c r="G29" s="37" t="n">
        <f aca="false">G21+G27</f>
        <v>6968.737295517</v>
      </c>
      <c r="H29" s="37" t="n">
        <f aca="false">H21+H27</f>
        <v>13960.51668055</v>
      </c>
    </row>
    <row r="30" customFormat="false" ht="15" hidden="false" customHeight="true" outlineLevel="0" collapsed="false">
      <c r="A30" s="11" t="s">
        <v>219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220</v>
      </c>
      <c r="B32" s="42" t="n">
        <f aca="false">IFERROR(B8/B18,0)</f>
        <v>16.5</v>
      </c>
      <c r="C32" s="42" t="n">
        <f aca="false">IFERROR(C8/C18,0)</f>
        <v>0.857894736842105</v>
      </c>
      <c r="D32" s="42" t="n">
        <f aca="false">IFERROR(D8/D18,0)</f>
        <v>-0.0347556595412843</v>
      </c>
      <c r="E32" s="42" t="n">
        <f aca="false">IFERROR(E8/E18,0)</f>
        <v>2.13823303212308</v>
      </c>
      <c r="F32" s="42" t="n">
        <f aca="false">IFERROR(F8/F18,0)</f>
        <v>7.13425603578438</v>
      </c>
      <c r="G32" s="42" t="n">
        <f aca="false">IFERROR(G8/G18,0)</f>
        <v>14.8968432387925</v>
      </c>
      <c r="H32" s="42" t="n">
        <f aca="false">IFERROR(H8/H18,0)</f>
        <v>35.1681018904167</v>
      </c>
    </row>
    <row r="33" customFormat="false" ht="15" hidden="false" customHeight="true" outlineLevel="0" collapsed="false">
      <c r="A33" s="7" t="s">
        <v>221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223</v>
      </c>
      <c r="B3" s="13" t="s">
        <v>224</v>
      </c>
      <c r="C3" s="13" t="s">
        <v>225</v>
      </c>
      <c r="D3" s="13" t="s">
        <v>226</v>
      </c>
    </row>
    <row r="4" customFormat="false" ht="15" hidden="false" customHeight="true" outlineLevel="0" collapsed="false">
      <c r="A4" s="14" t="s">
        <v>227</v>
      </c>
      <c r="B4" s="6" t="n">
        <v>803100</v>
      </c>
      <c r="C4" s="27" t="n">
        <f aca="false">B4/$B$13</f>
        <v>0.831280405755098</v>
      </c>
      <c r="D4" s="7" t="s">
        <v>228</v>
      </c>
    </row>
    <row r="5" customFormat="false" ht="15" hidden="false" customHeight="true" outlineLevel="0" collapsed="false">
      <c r="A5" s="14" t="s">
        <v>229</v>
      </c>
      <c r="B5" s="6" t="n">
        <v>0</v>
      </c>
      <c r="C5" s="27" t="n">
        <f aca="false">B5/$B$13</f>
        <v>0</v>
      </c>
      <c r="D5" s="14"/>
    </row>
    <row r="6" customFormat="false" ht="15" hidden="false" customHeight="true" outlineLevel="0" collapsed="false">
      <c r="A6" s="14" t="s">
        <v>230</v>
      </c>
      <c r="B6" s="6" t="n">
        <v>50000</v>
      </c>
      <c r="C6" s="27" t="n">
        <f aca="false">B6/$B$13</f>
        <v>0.0517544767622399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35000</v>
      </c>
      <c r="C7" s="27" t="n">
        <f aca="false">B7/$B$13</f>
        <v>0.036228133733568</v>
      </c>
      <c r="D7" s="7" t="s">
        <v>233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7" t="n">
        <f aca="false">B8/$B$13</f>
        <v>0.02587723838112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15000</v>
      </c>
      <c r="C9" s="27" t="n">
        <f aca="false">B9/$B$13</f>
        <v>0.015526343028672</v>
      </c>
      <c r="D9" s="7" t="s">
        <v>236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7" t="n">
        <f aca="false">B10/$B$13</f>
        <v>0.010350895352448</v>
      </c>
      <c r="D10" s="7" t="s">
        <v>237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7" t="n">
        <f aca="false">B11/$B$13</f>
        <v>0.00828071628195839</v>
      </c>
      <c r="D11" s="7" t="s">
        <v>238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7" t="n">
        <f aca="false">B12/$B$13</f>
        <v>0.020701790704896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4" t="s">
        <v>243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244</v>
      </c>
      <c r="B5" s="44" t="s">
        <v>245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158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170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246</v>
      </c>
      <c r="B8" s="35" t="n">
        <f aca="false">'5_Cashflow'!B23</f>
        <v>300</v>
      </c>
      <c r="C8" s="35" t="n">
        <f aca="false">'5_Cashflow'!C23</f>
        <v>98</v>
      </c>
      <c r="D8" s="35" t="n">
        <f aca="false">'5_Cashflow'!D23</f>
        <v>-142.57673378</v>
      </c>
      <c r="E8" s="35" t="n">
        <f aca="false">'5_Cashflow'!E23</f>
        <v>305.940588352</v>
      </c>
      <c r="F8" s="35" t="n">
        <f aca="false">'5_Cashflow'!F23</f>
        <v>1852.961931451</v>
      </c>
      <c r="G8" s="35" t="n">
        <f aca="false">'5_Cashflow'!G23</f>
        <v>5288.737295517</v>
      </c>
      <c r="H8" s="35" t="n">
        <f aca="false">'5_Cashflow'!H23</f>
        <v>11670.51668055</v>
      </c>
    </row>
    <row r="9" customFormat="false" ht="15" hidden="false" customHeight="true" outlineLevel="0" collapsed="false">
      <c r="A9" s="45" t="s">
        <v>247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248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-307</v>
      </c>
      <c r="D10" s="47" t="n">
        <f aca="false">IFERROR('4_PnL_Forecast'!D31/MAX(1,('3_Interest_Repayment'!G6+'3_Interest_Repayment'!H6)/1000),0)</f>
        <v>0.263188883656218</v>
      </c>
      <c r="E10" s="47" t="n">
        <f aca="false">IFERROR('4_PnL_Forecast'!E31/MAX(1,('3_Interest_Repayment'!G7+'3_Interest_Repayment'!H7)/1000),0)</f>
        <v>5.36637103693088</v>
      </c>
      <c r="F10" s="47" t="n">
        <f aca="false">IFERROR('4_PnL_Forecast'!F31/MAX(1,('3_Interest_Repayment'!G8+'3_Interest_Repayment'!H8)/1000),0)</f>
        <v>14.4524842430626</v>
      </c>
      <c r="G10" s="47" t="n">
        <f aca="false">IFERROR('4_PnL_Forecast'!G31/MAX(1,('3_Interest_Repayment'!G9+'3_Interest_Repayment'!H9)/1000),0)</f>
        <v>31.1547460265565</v>
      </c>
      <c r="H10" s="47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250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251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252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253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-390.1</v>
      </c>
      <c r="D16" s="48" t="n">
        <f aca="false">IFERROR(D15/MAX(1,('3_Interest_Repayment'!G6+'3_Interest_Repayment'!H6)/1000),0)</f>
        <v>-1.18688063879583</v>
      </c>
      <c r="E16" s="48" t="n">
        <f aca="false">IFERROR(E15/MAX(1,('3_Interest_Repayment'!G7+'3_Interest_Repayment'!H7)/1000),0)</f>
        <v>1.42586030044076</v>
      </c>
      <c r="F16" s="48" t="n">
        <f aca="false">IFERROR(F15/MAX(1,('3_Interest_Repayment'!G8+'3_Interest_Repayment'!H8)/1000),0)</f>
        <v>6.49425528707702</v>
      </c>
      <c r="G16" s="48" t="n">
        <f aca="false">IFERROR(G15/MAX(1,('3_Interest_Repayment'!G9+'3_Interest_Repayment'!H9)/1000),0)</f>
        <v>16.5860668066933</v>
      </c>
      <c r="H16" s="48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255</v>
      </c>
      <c r="B19" s="49" t="n">
        <f aca="false">'1_Cover_Assumptions'!B51</f>
        <v>0.794942650565924</v>
      </c>
      <c r="D19" s="11" t="s">
        <v>256</v>
      </c>
    </row>
    <row r="20" customFormat="false" ht="15" hidden="false" customHeight="true" outlineLevel="0" collapsed="false">
      <c r="A20" s="34" t="s">
        <v>257</v>
      </c>
      <c r="B20" s="46" t="n">
        <f aca="false">MIN('6_Balance_Sheet'!B32:H32)</f>
        <v>-0.0347556595412843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2026-05-09T17:16:00Z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