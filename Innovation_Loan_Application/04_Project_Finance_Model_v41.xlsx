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<sst xmlns="http://schemas.openxmlformats.org/spreadsheetml/2006/main" count="291" uniqueCount="262">
  <si>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</si>
  <si>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</si>
  <si>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</si>
  <si>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</si>
  <si>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</si>
  <si>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</si>
  <si>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</si>
  <si>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</si>
  <si>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</si>
  <si>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</si>
  <si>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</si>
  <si>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</si>
  <si>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</si>
  <si>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</si>
  <si>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</si>
  <si>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</si>
  <si>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</si>
  <si>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</si>
  <si>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3-year cap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</si>
  <si>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</si>
  <si>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</si>
  <si>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</si>
  <si>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</si>
  <si>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</si>
  <si>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</si>
  <si>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</si>
  <si>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</si>
  <si>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</si>
  <si>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</si>
  <si>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Repayment starts immediately after project (no deferred year)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</si>
  <si>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</si>
  <si>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</si>
  <si>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</si>
  <si>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</si>
  <si>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</si>
  <si>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</si>
  <si>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</si>
  <si>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3.7% during 18-month project period (indicative; confirm at Stage 2)</t>
  </si>
  <si>
    <t xml:space="preserve">Interest rate - deferred (post-project, pre-repay)</t>
  </si>
  <si>
    <t xml:space="preserve">Per Competition Doc §5: 3.7% accrued and deferred until repayment (additional to quarterly interest paid)</t>
  </si>
  <si>
    <t xml:space="preserve">Interest rate - repayment period</t>
  </si>
  <si>
    <t xml:space="preserve">7.4% during 5-yr repayment (indicative; confirm at Stage 2)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</si>
  <si>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</si>
  <si>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</si>
  <si>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</si>
  <si>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</si>
  <si>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</si>
  <si>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</si>
  <si>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</si>
  <si>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</si>
  <si>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</si>
  <si>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</si>
  <si>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</si>
  <si>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</si>
  <si>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</si>
  <si>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</si>
  <si>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</si>
  <si>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</si>
  <si>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</si>
  <si>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</si>
  <si>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</si>
  <si>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</si>
  <si>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</si>
  <si>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</si>
  <si>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</si>
  <si>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</si>
  <si>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</si>
  <si>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</si>
  <si>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</si>
  <si>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</si>
  <si>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</si>
  <si>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</si>
  <si>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</si>
  <si>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</si>
  <si>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</si>
  <si>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</si>
  <si>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</si>
  <si>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</si>
  <si>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</si>
  <si>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</si>
  <si>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</si>
  <si>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</si>
  <si>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</si>
  <si>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</si>
  <si>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</si>
  <si>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</si>
  <si>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</si>
  <si>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</si>
  <si>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</si>
  <si>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</si>
  <si>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</si>
  <si>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</si>
  <si>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</si>
  <si>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</si>
  <si>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</si>
  <si>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</si>
  <si>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</si>
  <si>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</si>
  <si>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</si>
  <si>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</si>
  <si>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</si>
  <si>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</si>
  <si>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</si>
  <si>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</si>
  <si>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</si>
  <si>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</si>
  <si>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</si>
  <si>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</si>
  <si>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</si>
  <si>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</si>
  <si>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</si>
  <si>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</si>
  <si>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</si>
  <si>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Oct26-Sep27</t>
  </si>
  <si>
    <t xml:space="preserve">Project (Yr1)</t>
  </si>
  <si>
    <t xml:space="preserve">Y2 Oct27-Mar28</t>
  </si>
  <si>
    <t xml:space="preserve">Project (Yr2 H1)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</si>
  <si>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</si>
  <si>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</si>
  <si>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</si>
  <si>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</si>
  <si>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</si>
  <si>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</si>
  <si>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</si>
  <si>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</si>
  <si>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</si>
  <si>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</si>
  <si>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</si>
  <si>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</si>
  <si>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</si>
  <si>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Mar 2028 (M18). Repayment starts 01 Apr 2028 (no deferred gap year in this plan).</t>
  </si>
  <si>
    <t xml:space="preserve">3) Equal annual principal repayment ~£144,217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</si>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</sst>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104</v>
      </c>
      <c r="B3" s="13" t="s">
        <v>105</v>
      </c>
      <c r="C3" s="13" t="s">
        <v>106</v>
      </c>
      <c r="D3" s="13" t="s">
        <v>107</v>
      </c>
      <c r="E3" s="13" t="s">
        <v>108</v>
      </c>
      <c r="F3" s="13" t="s">
        <v>109</v>
      </c>
      <c r="G3" s="13" t="s">
        <v>110</v>
      </c>
      <c r="H3" s="13" t="s">
        <v>111</v>
      </c>
      <c r="I3" s="13" t="s">
        <v>112</v>
      </c>
    </row>
    <row r="4" customFormat="false" ht="15" hidden="false" customHeight="true" outlineLevel="0" collapsed="false">
      <c r="A4" s="14" t="s">
        <v>113</v>
      </c>
      <c r="B4" s="14" t="s">
        <v>114</v>
      </c>
      <c r="C4" s="7" t="n">
        <v>0</v>
      </c>
      <c r="D4" s="7" t="n">
        <v>520000</v>
      </c>
      <c r="E4" s="26" t="n">
        <f aca="false">'1_Cover_Assumptions'!$B$19</f>
        <v>0.037</v>
      </c>
      <c r="F4" s="17" t="n">
        <f aca="false">(C4+D4/2)*E4</f>
        <v>9620</v>
      </c>
      <c r="G4" s="7" t="n">
        <v>0</v>
      </c>
      <c r="H4" s="7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115</v>
      </c>
      <c r="B5" s="14" t="s">
        <v>116</v>
      </c>
      <c r="C5" s="17" t="n">
        <f aca="false">I4</f>
        <v>529620</v>
      </c>
      <c r="D5" s="7" t="n">
        <v>180000</v>
      </c>
      <c r="E5" s="27" t="n">
        <f aca="false">'1_Cover_Assumptions'!$B$19*0.5</f>
        <v>0.0185</v>
      </c>
      <c r="F5" s="17" t="n">
        <f aca="false">(C5+D5/2)*E5</f>
        <v>11462.97</v>
      </c>
      <c r="G5" s="7" t="n">
        <v>0</v>
      </c>
      <c r="H5" s="7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117</v>
      </c>
      <c r="B6" s="14" t="s">
        <v>118</v>
      </c>
      <c r="C6" s="17" t="n">
        <f aca="false">I5</f>
        <v>721082.97</v>
      </c>
      <c r="D6" s="7" t="n">
        <v>0</v>
      </c>
      <c r="E6" s="26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119</v>
      </c>
      <c r="B7" s="14" t="s">
        <v>120</v>
      </c>
      <c r="C7" s="17" t="n">
        <f aca="false">I6</f>
        <v>576866.376</v>
      </c>
      <c r="D7" s="7" t="n">
        <v>0</v>
      </c>
      <c r="E7" s="26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121</v>
      </c>
      <c r="B8" s="14" t="s">
        <v>122</v>
      </c>
      <c r="C8" s="17" t="n">
        <f aca="false">I7</f>
        <v>432649.782</v>
      </c>
      <c r="D8" s="7" t="n">
        <v>0</v>
      </c>
      <c r="E8" s="26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123</v>
      </c>
      <c r="B9" s="14" t="s">
        <v>124</v>
      </c>
      <c r="C9" s="17" t="n">
        <f aca="false">I8</f>
        <v>288433.188</v>
      </c>
      <c r="D9" s="7" t="n">
        <v>0</v>
      </c>
      <c r="E9" s="26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125</v>
      </c>
      <c r="B10" s="14" t="s">
        <v>126</v>
      </c>
      <c r="C10" s="17" t="n">
        <f aca="false">I9</f>
        <v>144216.594</v>
      </c>
      <c r="D10" s="7" t="n">
        <v>0</v>
      </c>
      <c r="E10" s="26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127</v>
      </c>
      <c r="D11" s="28" t="n">
        <f aca="false">SUM(D4:D10)</f>
        <v>700000</v>
      </c>
      <c r="F11" s="28" t="n">
        <f aca="false">SUM(F4:F10)</f>
        <v>181163.38934</v>
      </c>
      <c r="G11" s="28" t="n">
        <f aca="false">SUM(G4:G10)</f>
        <v>721082.97</v>
      </c>
      <c r="H11" s="28" t="n">
        <f aca="false">SUM(H4:H10)</f>
        <v>160080.41934</v>
      </c>
    </row>
    <row r="13" customFormat="false" ht="15" hidden="false" customHeight="true" outlineLevel="0" collapsed="false">
      <c r="A13" s="3" t="s">
        <v>128</v>
      </c>
    </row>
    <row r="14" customFormat="false" ht="15" hidden="false" customHeight="true" outlineLevel="0" collapsed="false">
      <c r="A14" s="22" t="s">
        <v>129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A15" s="22" t="s">
        <v>130</v>
      </c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A16" s="22" t="s">
        <v>131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A17" s="22" t="s">
        <v>132</v>
      </c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2" t="s">
        <v>133</v>
      </c>
      <c r="B18" s="22"/>
      <c r="C18" s="22"/>
      <c r="D18" s="22"/>
      <c r="E18" s="22"/>
      <c r="F18" s="22"/>
      <c r="G18" s="22"/>
      <c r="H18" s="22"/>
      <c r="I18" s="22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14" t="s">
        <v>143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144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145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146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147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148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149</v>
      </c>
    </row>
    <row r="12" customFormat="false" ht="15" hidden="false" customHeight="true" outlineLevel="0" collapsed="false">
      <c r="A12" s="14" t="s">
        <v>150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151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152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153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154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155</v>
      </c>
      <c r="B18" s="27" t="n">
        <f aca="false">IFERROR(B17/B9,0)</f>
        <v>-0.2</v>
      </c>
      <c r="C18" s="27" t="n">
        <f aca="false">IFERROR(C17/C9,0)</f>
        <v>0.728947368421053</v>
      </c>
      <c r="D18" s="27" t="n">
        <f aca="false">IFERROR(D17/D9,0)</f>
        <v>0.837719298245614</v>
      </c>
      <c r="E18" s="27" t="n">
        <f aca="false">IFERROR(E17/E9,0)</f>
        <v>0.876785714285714</v>
      </c>
      <c r="F18" s="27" t="n">
        <f aca="false">IFERROR(F17/F9,0)</f>
        <v>0.882075471698113</v>
      </c>
      <c r="G18" s="27" t="n">
        <f aca="false">IFERROR(G17/G9,0)</f>
        <v>0.888397790055249</v>
      </c>
      <c r="H18" s="27" t="n">
        <f aca="false">IFERROR(H17/H9,0)</f>
        <v>0.893425605536332</v>
      </c>
    </row>
    <row r="20" customFormat="false" ht="15" hidden="false" customHeight="true" outlineLevel="0" collapsed="false">
      <c r="A20" s="30" t="s">
        <v>156</v>
      </c>
    </row>
    <row r="21" customFormat="false" ht="15" hidden="false" customHeight="true" outlineLevel="0" collapsed="false">
      <c r="A21" s="14" t="s">
        <v>157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158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159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160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161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162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163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164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165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166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167</v>
      </c>
      <c r="B32" s="27" t="n">
        <f aca="false">IFERROR(B31/B9,0)</f>
        <v>-6.8</v>
      </c>
      <c r="C32" s="27" t="n">
        <f aca="false">IFERROR(C31/C9,0)</f>
        <v>-0.807894736842105</v>
      </c>
      <c r="D32" s="27" t="n">
        <f aca="false">IFERROR(D31/D9,0)</f>
        <v>0.0456140350877193</v>
      </c>
      <c r="E32" s="27" t="n">
        <f aca="false">IFERROR(E31/E9,0)</f>
        <v>0.358214285714286</v>
      </c>
      <c r="F32" s="27" t="n">
        <f aca="false">IFERROR(F31/F9,0)</f>
        <v>0.480566037735849</v>
      </c>
      <c r="G32" s="27" t="n">
        <f aca="false">IFERROR(G31/G9,0)</f>
        <v>0.569944751381216</v>
      </c>
      <c r="H32" s="27" t="n">
        <f aca="false">IFERROR(H31/H9,0)</f>
        <v>0.637508650519031</v>
      </c>
    </row>
    <row r="34" customFormat="false" ht="15" hidden="false" customHeight="true" outlineLevel="0" collapsed="false">
      <c r="A34" s="34" t="s">
        <v>168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169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170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171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172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173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30" t="s">
        <v>175</v>
      </c>
    </row>
    <row r="5" customFormat="false" ht="15" hidden="false" customHeight="true" outlineLevel="0" collapsed="false">
      <c r="A5" s="34" t="s">
        <v>176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177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178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179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180</v>
      </c>
    </row>
    <row r="11" customFormat="false" ht="15" hidden="false" customHeight="true" outlineLevel="0" collapsed="false">
      <c r="A11" s="34" t="s">
        <v>181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182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183</v>
      </c>
    </row>
    <row r="15" customFormat="false" ht="15" hidden="false" customHeight="true" outlineLevel="0" collapsed="false">
      <c r="A15" s="34" t="s">
        <v>184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185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186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187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188</v>
      </c>
      <c r="B19" s="31" t="n">
        <f aca="false">B15+B16+B17+B18</f>
        <v>520</v>
      </c>
      <c r="C19" s="31" t="n">
        <f aca="false">C15+C16+C17+C18</f>
        <v>1180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189</v>
      </c>
      <c r="B21" s="33" t="n">
        <f aca="false">B8+B12+B19</f>
        <v>110</v>
      </c>
      <c r="C21" s="33" t="n">
        <f aca="false">C8+C12+C19</f>
        <v>798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190</v>
      </c>
      <c r="B22" s="8" t="n">
        <v>0</v>
      </c>
      <c r="C22" s="36" t="n">
        <f aca="false">B23</f>
        <v>110</v>
      </c>
      <c r="D22" s="36" t="n">
        <f aca="false">C23</f>
        <v>908</v>
      </c>
      <c r="E22" s="36" t="n">
        <f aca="false">D23</f>
        <v>667.42326622</v>
      </c>
      <c r="F22" s="36" t="n">
        <f aca="false">E23</f>
        <v>1115.940588352</v>
      </c>
      <c r="G22" s="36" t="n">
        <f aca="false">F23</f>
        <v>2662.961931451</v>
      </c>
      <c r="H22" s="36" t="n">
        <f aca="false">G23</f>
        <v>6098.737295517</v>
      </c>
    </row>
    <row r="23" customFormat="false" ht="15" hidden="false" customHeight="true" outlineLevel="0" collapsed="false">
      <c r="A23" s="13" t="s">
        <v>191</v>
      </c>
      <c r="B23" s="37" t="n">
        <f aca="false">B22+B21</f>
        <v>110</v>
      </c>
      <c r="C23" s="37" t="n">
        <f aca="false">C22+C21</f>
        <v>908</v>
      </c>
      <c r="D23" s="37" t="n">
        <f aca="false">D22+D21</f>
        <v>667.42326622</v>
      </c>
      <c r="E23" s="37" t="n">
        <f aca="false">E22+E21</f>
        <v>1115.940588352</v>
      </c>
      <c r="F23" s="37" t="n">
        <f aca="false">F22+F21</f>
        <v>2662.961931451</v>
      </c>
      <c r="G23" s="37" t="n">
        <f aca="false">G22+G21</f>
        <v>6098.737295517</v>
      </c>
      <c r="H23" s="37" t="n">
        <f aca="false">H22+H21</f>
        <v>12480.51668055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30" t="s">
        <v>193</v>
      </c>
    </row>
    <row r="5" customFormat="false" ht="15" hidden="false" customHeight="true" outlineLevel="0" collapsed="false">
      <c r="A5" s="34" t="s">
        <v>194</v>
      </c>
      <c r="B5" s="35" t="n">
        <f aca="false">'5_Cashflow'!B23</f>
        <v>110</v>
      </c>
      <c r="C5" s="35" t="n">
        <f aca="false">'5_Cashflow'!C23</f>
        <v>908</v>
      </c>
      <c r="D5" s="35" t="n">
        <f aca="false">'5_Cashflow'!D23</f>
        <v>667.42326622</v>
      </c>
      <c r="E5" s="35" t="n">
        <f aca="false">'5_Cashflow'!E23</f>
        <v>1115.940588352</v>
      </c>
      <c r="F5" s="35" t="n">
        <f aca="false">'5_Cashflow'!F23</f>
        <v>2662.961931451</v>
      </c>
      <c r="G5" s="35" t="n">
        <f aca="false">'5_Cashflow'!G23</f>
        <v>6098.737295517</v>
      </c>
      <c r="H5" s="35" t="n">
        <f aca="false">'5_Cashflow'!H23</f>
        <v>12480.51668055</v>
      </c>
    </row>
    <row r="6" customFormat="false" ht="15" hidden="false" customHeight="true" outlineLevel="0" collapsed="false">
      <c r="A6" s="34" t="s">
        <v>195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196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197</v>
      </c>
      <c r="B8" s="29" t="n">
        <f aca="false">SUM(B5:B7)</f>
        <v>140</v>
      </c>
      <c r="C8" s="29" t="n">
        <f aca="false">SUM(C5:C7)</f>
        <v>973</v>
      </c>
      <c r="D8" s="29" t="n">
        <f aca="false">SUM(D5:D7)</f>
        <v>802.42326622</v>
      </c>
      <c r="E8" s="29" t="n">
        <f aca="false">SUM(E5:E7)</f>
        <v>1365.940588352</v>
      </c>
      <c r="F8" s="29" t="n">
        <f aca="false">SUM(F5:F7)</f>
        <v>3092.961931451</v>
      </c>
      <c r="G8" s="29" t="n">
        <f aca="false">SUM(G5:G7)</f>
        <v>6768.737295517</v>
      </c>
      <c r="H8" s="29" t="n">
        <f aca="false">SUM(H5:H7)</f>
        <v>13470.51668055</v>
      </c>
    </row>
    <row r="9" customFormat="false" ht="15" hidden="false" customHeight="true" outlineLevel="0" collapsed="false">
      <c r="A9" s="34" t="s">
        <v>198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199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200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201</v>
      </c>
      <c r="B12" s="37" t="n">
        <f aca="false">B8+B11</f>
        <v>270</v>
      </c>
      <c r="C12" s="37" t="n">
        <f aca="false">C8+C11</f>
        <v>1233</v>
      </c>
      <c r="D12" s="37" t="n">
        <f aca="false">D8+D11</f>
        <v>1202.42326622</v>
      </c>
      <c r="E12" s="37" t="n">
        <f aca="false">E8+E11</f>
        <v>1935.940588352</v>
      </c>
      <c r="F12" s="37" t="n">
        <f aca="false">F8+F11</f>
        <v>3862.961931451</v>
      </c>
      <c r="G12" s="37" t="n">
        <f aca="false">G8+G11</f>
        <v>7778.737295517</v>
      </c>
      <c r="H12" s="37" t="n">
        <f aca="false">H8+H11</f>
        <v>14770.51668055</v>
      </c>
    </row>
    <row r="14" customFormat="false" ht="15" hidden="false" customHeight="true" outlineLevel="0" collapsed="false">
      <c r="A14" s="30" t="s">
        <v>202</v>
      </c>
    </row>
    <row r="15" customFormat="false" ht="15" hidden="false" customHeight="true" outlineLevel="0" collapsed="false">
      <c r="A15" s="34" t="s">
        <v>203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204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205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206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207</v>
      </c>
      <c r="B19" s="36" t="n">
        <f aca="false">MAX(0,'3_Interest_Repayment'!I4/1000)</f>
        <v>529.62</v>
      </c>
      <c r="C19" s="36" t="n">
        <f aca="false">MAX(0,'3_Interest_Repayment'!I5/1000)</f>
        <v>721.08297</v>
      </c>
      <c r="D19" s="36" t="n">
        <f aca="false">MAX(0,'3_Interest_Repayment'!I6/1000)</f>
        <v>576.866376</v>
      </c>
      <c r="E19" s="36" t="n">
        <f aca="false">MAX(0,'3_Interest_Repayment'!I7/1000)</f>
        <v>432.649782</v>
      </c>
      <c r="F19" s="36" t="n">
        <f aca="false">MAX(0,'3_Interest_Repayment'!I8/1000)</f>
        <v>288.433188</v>
      </c>
      <c r="G19" s="36" t="n">
        <f aca="false">MAX(0,'3_Interest_Repayment'!I9/1000)</f>
        <v>144.216594</v>
      </c>
      <c r="H19" s="36" t="n">
        <f aca="false">MAX(0,'3_Interest_Repayment'!I10/1000)</f>
        <v>1.14596332423389E-013</v>
      </c>
    </row>
    <row r="20" customFormat="false" ht="15" hidden="false" customHeight="true" outlineLevel="0" collapsed="false">
      <c r="A20" s="39" t="s">
        <v>208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576.866376</v>
      </c>
      <c r="E20" s="40" t="n">
        <f aca="false">E19</f>
        <v>432.649782</v>
      </c>
      <c r="F20" s="40" t="n">
        <f aca="false">F19</f>
        <v>288.433188</v>
      </c>
      <c r="G20" s="40" t="n">
        <f aca="false">G19</f>
        <v>144.216594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209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394.216594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210</v>
      </c>
    </row>
    <row r="24" customFormat="false" ht="15" hidden="false" customHeight="true" outlineLevel="0" collapsed="false">
      <c r="A24" s="34" t="s">
        <v>211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212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213</v>
      </c>
      <c r="B26" s="36" t="n">
        <f aca="false">B12-B21-B24-B25</f>
        <v>-120</v>
      </c>
      <c r="C26" s="36" t="n">
        <f aca="false">C12-C21-C24-C25</f>
        <v>-20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</v>
      </c>
      <c r="G26" s="36" t="n">
        <f aca="false">G12-G21-G24-G25</f>
        <v>764.999999999999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214</v>
      </c>
      <c r="B27" s="37" t="n">
        <f aca="false">B24+B25+B26</f>
        <v>-279.62</v>
      </c>
      <c r="C27" s="37" t="n">
        <f aca="false">C24+C25+C26</f>
        <v>471.91703</v>
      </c>
      <c r="D27" s="37" t="n">
        <f aca="false">D24+D25+D26</f>
        <v>557.55689022</v>
      </c>
      <c r="E27" s="37" t="n">
        <f aca="false">E24+E25+E26</f>
        <v>1393.290806352</v>
      </c>
      <c r="F27" s="37" t="n">
        <f aca="false">F24+F25+F26</f>
        <v>3404.528743451</v>
      </c>
      <c r="G27" s="37" t="n">
        <f aca="false">G24+G25+G26</f>
        <v>7384.520701517</v>
      </c>
      <c r="H27" s="37" t="n">
        <f aca="false">H24+H25+H26</f>
        <v>14410.51668055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215</v>
      </c>
      <c r="B29" s="37" t="n">
        <f aca="false">B21+B27</f>
        <v>270</v>
      </c>
      <c r="C29" s="37" t="n">
        <f aca="false">C21+C27</f>
        <v>1233</v>
      </c>
      <c r="D29" s="37" t="n">
        <f aca="false">D21+D27</f>
        <v>1202.42326622</v>
      </c>
      <c r="E29" s="37" t="n">
        <f aca="false">E21+E27</f>
        <v>1935.940588352</v>
      </c>
      <c r="F29" s="37" t="n">
        <f aca="false">F21+F27</f>
        <v>3862.961931451</v>
      </c>
      <c r="G29" s="37" t="n">
        <f aca="false">G21+G27</f>
        <v>7778.737295517</v>
      </c>
      <c r="H29" s="37" t="n">
        <f aca="false">H21+H27</f>
        <v>14770.51668055</v>
      </c>
    </row>
    <row r="30" customFormat="false" ht="15" hidden="false" customHeight="true" outlineLevel="0" collapsed="false">
      <c r="A30" s="11" t="s">
        <v>216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217</v>
      </c>
      <c r="B32" s="42" t="n">
        <f aca="false">IFERROR(B8/B18,0)</f>
        <v>7</v>
      </c>
      <c r="C32" s="42" t="n">
        <f aca="false">IFERROR(C8/C18,0)</f>
        <v>24.325</v>
      </c>
      <c r="D32" s="42" t="n">
        <f aca="false">IFERROR(D8/D18,0)</f>
        <v>11.8003421502941</v>
      </c>
      <c r="E32" s="42" t="n">
        <f aca="false">IFERROR(E8/E18,0)</f>
        <v>12.4176417122909</v>
      </c>
      <c r="F32" s="42" t="n">
        <f aca="false">IFERROR(F8/F18,0)</f>
        <v>18.1938937144176</v>
      </c>
      <c r="G32" s="42" t="n">
        <f aca="false">IFERROR(G8/G18,0)</f>
        <v>27.074949182068</v>
      </c>
      <c r="H32" s="42" t="n">
        <f aca="false">IFERROR(H8/H18,0)</f>
        <v>37.4181018904167</v>
      </c>
    </row>
    <row r="33" customFormat="false" ht="15" hidden="false" customHeight="true" outlineLevel="0" collapsed="false">
      <c r="A33" s="5" t="s">
        <v>218</v>
      </c>
    </row>
    <row r="34" customFormat="false" ht="32.25" hidden="false" customHeight="true" outlineLevel="0" collapsed="false">
      <c r="A34" s="5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220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221</v>
      </c>
      <c r="B3" s="43" t="s">
        <v>222</v>
      </c>
      <c r="C3" s="43" t="s">
        <v>223</v>
      </c>
      <c r="D3" s="19" t="s">
        <v>224</v>
      </c>
    </row>
    <row r="4" customFormat="false" ht="15" hidden="false" customHeight="true" outlineLevel="0" collapsed="false">
      <c r="A4" s="14" t="s">
        <v>225</v>
      </c>
      <c r="B4" s="7" t="n">
        <v>672567</v>
      </c>
      <c r="C4" s="44" t="n">
        <f aca="false">B4/$B$12</f>
        <v>0.763788558962578</v>
      </c>
      <c r="D4" s="5" t="s">
        <v>226</v>
      </c>
    </row>
    <row r="5" customFormat="false" ht="15" hidden="false" customHeight="true" outlineLevel="0" collapsed="false">
      <c r="A5" s="14" t="s">
        <v>227</v>
      </c>
      <c r="B5" s="7" t="n">
        <v>50000</v>
      </c>
      <c r="C5" s="44" t="n">
        <f aca="false">B5/$B$12</f>
        <v>0.0567815964032266</v>
      </c>
      <c r="D5" s="5" t="s">
        <v>228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229</v>
      </c>
    </row>
    <row r="7" customFormat="false" ht="15" hidden="false" customHeight="true" outlineLevel="0" collapsed="false">
      <c r="A7" s="14" t="s">
        <v>230</v>
      </c>
      <c r="B7" s="7" t="n">
        <v>25000</v>
      </c>
      <c r="C7" s="44" t="n">
        <f aca="false">B7/$B$12</f>
        <v>0.0283907982016133</v>
      </c>
      <c r="D7" s="5" t="s">
        <v>231</v>
      </c>
    </row>
    <row r="8" customFormat="false" ht="15" hidden="false" customHeight="true" outlineLevel="0" collapsed="false">
      <c r="A8" s="14" t="s">
        <v>232</v>
      </c>
      <c r="B8" s="7" t="n">
        <v>15000</v>
      </c>
      <c r="C8" s="44" t="n">
        <f aca="false">B8/$B$12</f>
        <v>0.017034478920968</v>
      </c>
      <c r="D8" s="5" t="s">
        <v>233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234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235</v>
      </c>
    </row>
    <row r="11" customFormat="false" ht="15" hidden="false" customHeight="true" outlineLevel="0" collapsed="false">
      <c r="A11" s="14" t="s">
        <v>236</v>
      </c>
      <c r="B11" s="7" t="n">
        <v>65000</v>
      </c>
      <c r="C11" s="44" t="n">
        <f aca="false">B11/$B$12</f>
        <v>0.0738160753241945</v>
      </c>
      <c r="D11" s="5" t="s">
        <v>237</v>
      </c>
    </row>
    <row r="12" customFormat="false" ht="15" hidden="false" customHeight="true" outlineLevel="0" collapsed="false">
      <c r="A12" s="19" t="s">
        <v>238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239</v>
      </c>
      <c r="B14" s="7" t="n">
        <v>700000</v>
      </c>
      <c r="C14" s="44" t="n">
        <f aca="false">B14/B12</f>
        <v>0.794942349645172</v>
      </c>
      <c r="D14" s="5" t="s">
        <v>240</v>
      </c>
    </row>
    <row r="15" customFormat="false" ht="15" hidden="false" customHeight="true" outlineLevel="0" collapsed="false">
      <c r="A15" s="49" t="s">
        <v>241</v>
      </c>
      <c r="B15" s="7" t="n">
        <v>190000</v>
      </c>
      <c r="D15" s="5" t="s">
        <v>242</v>
      </c>
    </row>
    <row r="16" customFormat="false" ht="15" hidden="false" customHeight="true" outlineLevel="0" collapsed="false">
      <c r="A16" s="19" t="s">
        <v>243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245</v>
      </c>
      <c r="B3" s="23" t="s">
        <v>136</v>
      </c>
      <c r="C3" s="23" t="s">
        <v>137</v>
      </c>
      <c r="D3" s="23" t="s">
        <v>138</v>
      </c>
      <c r="E3" s="23" t="s">
        <v>139</v>
      </c>
      <c r="F3" s="23" t="s">
        <v>140</v>
      </c>
      <c r="G3" s="23" t="s">
        <v>141</v>
      </c>
      <c r="H3" s="23" t="s">
        <v>142</v>
      </c>
    </row>
    <row r="4" customFormat="false" ht="15" hidden="false" customHeight="true" outlineLevel="0" collapsed="false">
      <c r="A4" s="34" t="s">
        <v>246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247</v>
      </c>
      <c r="B5" s="50" t="s">
        <v>248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155</v>
      </c>
      <c r="B6" s="27" t="n">
        <f aca="false">IFERROR('4_PnL_Forecast'!B17/'4_PnL_Forecast'!B9,0)</f>
        <v>-0.2</v>
      </c>
      <c r="C6" s="27" t="n">
        <f aca="false">IFERROR('4_PnL_Forecast'!C17/'4_PnL_Forecast'!C9,0)</f>
        <v>0.728947368421053</v>
      </c>
      <c r="D6" s="27" t="n">
        <f aca="false">IFERROR('4_PnL_Forecast'!D17/'4_PnL_Forecast'!D9,0)</f>
        <v>0.837719298245614</v>
      </c>
      <c r="E6" s="27" t="n">
        <f aca="false">IFERROR('4_PnL_Forecast'!E17/'4_PnL_Forecast'!E9,0)</f>
        <v>0.876785714285714</v>
      </c>
      <c r="F6" s="27" t="n">
        <f aca="false">IFERROR('4_PnL_Forecast'!F17/'4_PnL_Forecast'!F9,0)</f>
        <v>0.882075471698113</v>
      </c>
      <c r="G6" s="27" t="n">
        <f aca="false">IFERROR('4_PnL_Forecast'!G17/'4_PnL_Forecast'!G9,0)</f>
        <v>0.888397790055249</v>
      </c>
      <c r="H6" s="27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167</v>
      </c>
      <c r="B7" s="27" t="n">
        <f aca="false">IFERROR('4_PnL_Forecast'!B31/'4_PnL_Forecast'!B9,0)</f>
        <v>-6.8</v>
      </c>
      <c r="C7" s="27" t="n">
        <f aca="false">IFERROR('4_PnL_Forecast'!C31/'4_PnL_Forecast'!C9,0)</f>
        <v>-0.807894736842105</v>
      </c>
      <c r="D7" s="27" t="n">
        <f aca="false">IFERROR('4_PnL_Forecast'!D31/'4_PnL_Forecast'!D9,0)</f>
        <v>0.0456140350877193</v>
      </c>
      <c r="E7" s="27" t="n">
        <f aca="false">IFERROR('4_PnL_Forecast'!E31/'4_PnL_Forecast'!E9,0)</f>
        <v>0.358214285714286</v>
      </c>
      <c r="F7" s="27" t="n">
        <f aca="false">IFERROR('4_PnL_Forecast'!F31/'4_PnL_Forecast'!F9,0)</f>
        <v>0.480566037735849</v>
      </c>
      <c r="G7" s="27" t="n">
        <f aca="false">IFERROR('4_PnL_Forecast'!G31/'4_PnL_Forecast'!G9,0)</f>
        <v>0.569944751381216</v>
      </c>
      <c r="H7" s="27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249</v>
      </c>
      <c r="B8" s="35" t="n">
        <f aca="false">'5_Cashflow'!B23</f>
        <v>110</v>
      </c>
      <c r="C8" s="35" t="n">
        <f aca="false">'5_Cashflow'!C23</f>
        <v>908</v>
      </c>
      <c r="D8" s="35" t="n">
        <f aca="false">'5_Cashflow'!D23</f>
        <v>667.42326622</v>
      </c>
      <c r="E8" s="35" t="n">
        <f aca="false">'5_Cashflow'!E23</f>
        <v>1115.940588352</v>
      </c>
      <c r="F8" s="35" t="n">
        <f aca="false">'5_Cashflow'!F23</f>
        <v>2662.961931451</v>
      </c>
      <c r="G8" s="35" t="n">
        <f aca="false">'5_Cashflow'!G23</f>
        <v>6098.737295517</v>
      </c>
      <c r="H8" s="35" t="n">
        <f aca="false">'5_Cashflow'!H23</f>
        <v>12480.51668055</v>
      </c>
    </row>
    <row r="9" customFormat="false" ht="15" hidden="false" customHeight="true" outlineLevel="0" collapsed="false">
      <c r="A9" s="51" t="s">
        <v>250</v>
      </c>
      <c r="B9" s="52" t="n">
        <f aca="false">'6_Balance_Sheet'!B32</f>
        <v>7</v>
      </c>
      <c r="C9" s="52" t="n">
        <f aca="false">'6_Balance_Sheet'!C32</f>
        <v>24.325</v>
      </c>
      <c r="D9" s="52" t="n">
        <f aca="false">'6_Balance_Sheet'!D32</f>
        <v>11.8003421502941</v>
      </c>
      <c r="E9" s="52" t="n">
        <f aca="false">'6_Balance_Sheet'!E32</f>
        <v>12.4176417122909</v>
      </c>
      <c r="F9" s="52" t="n">
        <f aca="false">'6_Balance_Sheet'!F32</f>
        <v>18.1938937144176</v>
      </c>
      <c r="G9" s="52" t="n">
        <f aca="false">'6_Balance_Sheet'!G32</f>
        <v>27.074949182068</v>
      </c>
      <c r="H9" s="52" t="n">
        <f aca="false">'6_Balance_Sheet'!H32</f>
        <v>37.4181018904167</v>
      </c>
    </row>
    <row r="10" customFormat="false" ht="15" hidden="false" customHeight="true" outlineLevel="0" collapsed="false">
      <c r="A10" s="34" t="s">
        <v>251</v>
      </c>
      <c r="B10" s="53" t="n">
        <f aca="false">IFERROR('4_PnL_Forecast'!B31/MAX(1,('3_Interest_Repayment'!G4+'3_Interest_Repayment'!H4)/1000),0)</f>
        <v>-340</v>
      </c>
      <c r="C10" s="53" t="n">
        <f aca="false">IFERROR('4_PnL_Forecast'!C31/MAX(1,('3_Interest_Repayment'!G5+'3_Interest_Repayment'!H5)/1000),0)</f>
        <v>-307</v>
      </c>
      <c r="D10" s="53" t="n">
        <f aca="false">IFERROR('4_PnL_Forecast'!D31/MAX(1,('3_Interest_Repayment'!G6+'3_Interest_Repayment'!H6)/1000),0)</f>
        <v>0.263188883656218</v>
      </c>
      <c r="E10" s="53" t="n">
        <f aca="false">IFERROR('4_PnL_Forecast'!E31/MAX(1,('3_Interest_Repayment'!G7+'3_Interest_Repayment'!H7)/1000),0)</f>
        <v>5.36637103693088</v>
      </c>
      <c r="F10" s="53" t="n">
        <f aca="false">IFERROR('4_PnL_Forecast'!F31/MAX(1,('3_Interest_Repayment'!G8+'3_Interest_Repayment'!H8)/1000),0)</f>
        <v>14.4524842430626</v>
      </c>
      <c r="G10" s="53" t="n">
        <f aca="false">IFERROR('4_PnL_Forecast'!G31/MAX(1,('3_Interest_Repayment'!G9+'3_Interest_Repayment'!H9)/1000),0)</f>
        <v>31.1547460265565</v>
      </c>
      <c r="H10" s="53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6" t="s">
        <v>252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253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254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255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256</v>
      </c>
      <c r="B16" s="54" t="n">
        <f aca="false">IFERROR(B15/MAX(1,('3_Interest_Repayment'!G4+'3_Interest_Repayment'!H4)/1000),0)</f>
        <v>-337</v>
      </c>
      <c r="C16" s="54" t="n">
        <f aca="false">IFERROR(C15/MAX(1,('3_Interest_Repayment'!G5+'3_Interest_Repayment'!H5)/1000),0)</f>
        <v>-390.1</v>
      </c>
      <c r="D16" s="54" t="n">
        <f aca="false">IFERROR(D15/MAX(1,('3_Interest_Repayment'!G6+'3_Interest_Repayment'!H6)/1000),0)</f>
        <v>-1.18688063879583</v>
      </c>
      <c r="E16" s="54" t="n">
        <f aca="false">IFERROR(E15/MAX(1,('3_Interest_Repayment'!G7+'3_Interest_Repayment'!H7)/1000),0)</f>
        <v>1.42586030044076</v>
      </c>
      <c r="F16" s="54" t="n">
        <f aca="false">IFERROR(F15/MAX(1,('3_Interest_Repayment'!G8+'3_Interest_Repayment'!H8)/1000),0)</f>
        <v>6.49425528707702</v>
      </c>
      <c r="G16" s="54" t="n">
        <f aca="false">IFERROR(G15/MAX(1,('3_Interest_Repayment'!G9+'3_Interest_Repayment'!H9)/1000),0)</f>
        <v>16.5860668066933</v>
      </c>
      <c r="H16" s="54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6" t="s">
        <v>257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258</v>
      </c>
      <c r="B19" s="55" t="n">
        <f aca="false">'1_Cover_Assumptions'!B51</f>
        <v>0.119241397584889</v>
      </c>
      <c r="D19" s="11" t="s">
        <v>259</v>
      </c>
    </row>
    <row r="20" customFormat="false" ht="15" hidden="false" customHeight="true" outlineLevel="0" collapsed="false">
      <c r="A20" s="34" t="s">
        <v>260</v>
      </c>
      <c r="B20" s="52" t="n">
        <f aca="false">MIN('6_Balance_Sheet'!B32:H32)</f>
        <v>7</v>
      </c>
      <c r="D20" s="11" t="s">
        <v>261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2026-05-09T21:21:34Z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