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<sst xmlns="http://schemas.openxmlformats.org/spreadsheetml/2006/main" count="292" uniqueCount="263">
  <si>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</si>
  <si>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</si>
  <si>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</si>
  <si>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</si>
  <si>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</si>
  <si>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</si>
  <si>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</si>
  <si>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</si>
  <si>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</si>
  <si>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</si>
  <si>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</si>
  <si>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</si>
  <si>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</si>
  <si>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</si>
  <si>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</si>
  <si>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</si>
  <si>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</si>
  <si>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</si>
  <si>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</si>
  <si>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</si>
  <si>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</si>
  <si>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</si>
  <si>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</si>
  <si>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</si>
  <si>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</si>
  <si>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</si>
  <si>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</si>
  <si>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</si>
  <si>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</si>
  <si>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</si>
  <si>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</si>
  <si>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</si>
  <si>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</si>
  <si>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</si>
  <si>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</si>
  <si>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</si>
  <si>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</si>
  <si>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</si>
  <si>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</si>
  <si>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</si>
  <si>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</si>
  <si>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</si>
  <si>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</si>
  <si>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</si>
  <si>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</si>
  <si>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</si>
  <si>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</si>
  <si>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</si>
  <si>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</si>
  <si>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</si>
  <si>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</si>
  <si>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</si>
  <si>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</si>
  <si>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</si>
  <si>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</si>
  <si>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</si>
  <si>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</si>
  <si>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</si>
  <si>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</si>
  <si>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</si>
  <si>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</si>
  <si>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</si>
  <si>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</si>
  <si>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</si>
  <si>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</si>
  <si>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</si>
  <si>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</si>
  <si>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</si>
  <si>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</si>
  <si>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</si>
  <si>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</si>
  <si>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</si>
  <si>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</si>
  <si>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</si>
  <si>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</si>
  <si>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</si>
  <si>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</si>
  <si>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</si>
  <si>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</si>
  <si>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</si>
  <si>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</si>
  <si>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</si>
  <si>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</si>
  <si>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</si>
  <si>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</si>
  <si>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</si>
  <si>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</si>
  <si>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</si>
  <si>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</si>
  <si>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</si>
  <si>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</si>
  <si>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</si>
  <si>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</si>
  <si>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</si>
  <si>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</si>
  <si>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</si>
  <si>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</si>
  <si>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</si>
  <si>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</si>
  <si>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</si>
  <si>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</si>
  <si>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</si>
  <si>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</si>
  <si>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</si>
  <si>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</si>
  <si>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</si>
  <si>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</si>
  <si>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</si>
  <si>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</si>
  <si>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</si>
  <si>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</si>
  <si>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</si>
  <si>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</si>
  <si>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</si>
  <si>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</si>
  <si>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</si>
  <si>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</si>
  <si>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</si>
  <si>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</si>
  <si>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</si>
  <si>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</si>
  <si>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</si>
  <si>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</si>
  <si>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</si>
  <si>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</si>
  <si>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</si>
  <si>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</si>
  <si>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</si>
  <si>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</si>
  <si>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</si>
  <si>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</si>
  <si>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</si>
  <si>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</si>
  <si>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</si>
  <si>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</si>
  <si>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</si>
  <si>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</si>
  <si>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</si>
  <si>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</si>
  <si>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</si>
  <si>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</si>
  <si>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</si>
  <si>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</si>
  <si>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</si>
  <si>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</si>
  <si>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</si>
  <si>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</si>
  <si>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</si>
  <si>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</si>
  <si>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</si>
  <si>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</si>
  <si>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</si>
  <si>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</si>
  <si>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</si>
  <si>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</si>
  <si>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</si>
  <si>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</si>
  <si>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</si>
  <si>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</si>
  <si>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</si>
  <si>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</si>
  <si>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</si>
  <si>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</si>
  <si>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</si>
  <si>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</si>
  <si>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</si>
  <si>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</si>
  <si>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</si>
  <si>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</si>
  <si>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</si>
  <si>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</si>
  <si>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</si>
  <si>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</si>
  <si>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(RDEC credit Y1-Y3, then 25% CT after carry-forward losses)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</si>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</sst>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%;\(0.0%\);\-"/>
    <numFmt numFmtId="174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str">
        <f aca="false">IF(B9&lt;500,"n/m",B17/B9)</f>
        <v>n/m</v>
      </c>
      <c r="C18" s="33" t="str">
        <f aca="false">IF(C9&lt;500,"n/m",C17/C9)</f>
        <v>n/m</v>
      </c>
      <c r="D18" s="33" t="n">
        <f aca="false">IF(D9&lt;500,"n/m",D17/D9)</f>
        <v>0.837719298245614</v>
      </c>
      <c r="E18" s="33" t="n">
        <f aca="false">IF(E9&lt;500,"n/m",E17/E9)</f>
        <v>0.876785714285714</v>
      </c>
      <c r="F18" s="33" t="n">
        <f aca="false">IF(F9&lt;500,"n/m",F17/F9)</f>
        <v>0.882075471698113</v>
      </c>
      <c r="G18" s="33" t="n">
        <f aca="false">IF(G9&lt;500,"n/m",G17/G9)</f>
        <v>0.888397790055249</v>
      </c>
      <c r="H18" s="33" t="n">
        <f aca="false">IF(H9&lt;500,"n/m",H17/H9)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str">
        <f aca="false">IF(B9&lt;500,"n/m",B31/B9)</f>
        <v>n/m</v>
      </c>
      <c r="C32" s="33" t="str">
        <f aca="false">IF(C9&lt;500,"n/m",C31/C9)</f>
        <v>n/m</v>
      </c>
      <c r="D32" s="33" t="n">
        <f aca="false">IF(D9&lt;500,"n/m",D31/D9)</f>
        <v>0.0456140350877193</v>
      </c>
      <c r="E32" s="33" t="n">
        <f aca="false">IF(E9&lt;500,"n/m",E31/E9)</f>
        <v>0.358214285714286</v>
      </c>
      <c r="F32" s="33" t="n">
        <f aca="false">IF(F9&lt;500,"n/m",F31/F9)</f>
        <v>0.480566037735849</v>
      </c>
      <c r="G32" s="33" t="n">
        <f aca="false">IF(G9&lt;500,"n/m",G31/G9)</f>
        <v>0.569944751381216</v>
      </c>
      <c r="H32" s="33" t="n">
        <f aca="false">IF(H9&lt;500,"n/m",H31/H9)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-B21*0.15</f>
        <v>-16.5</v>
      </c>
      <c r="C38" s="36" t="n">
        <f aca="false">-C21*0.15</f>
        <v>-34.5</v>
      </c>
      <c r="D38" s="36" t="n">
        <f aca="false">-D21*0.15</f>
        <v>-52.5</v>
      </c>
      <c r="E38" s="36" t="n">
        <f aca="false">MAX(0,E37-MAX(0,-(B37-B38+C37-C38+D37-D38)))*0.25</f>
        <v>46.133480055</v>
      </c>
      <c r="F38" s="36" t="n">
        <f aca="false">MAX(0,F37-MAX(0,-(B37-B38+C37-C38+D37-D38)-E37))*0.25</f>
        <v>598.98</v>
      </c>
      <c r="G38" s="36" t="n">
        <f aca="false">G37*0.25</f>
        <v>1246.82</v>
      </c>
      <c r="H38" s="36" t="n">
        <f aca="false">H37*0.25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-352.74</v>
      </c>
      <c r="C39" s="37" t="n">
        <f aca="false">C37-C38</f>
        <v>-325.42594</v>
      </c>
      <c r="D39" s="37" t="n">
        <f aca="false">D37-D38</f>
        <v>-8.86013978</v>
      </c>
      <c r="E39" s="37" t="n">
        <f aca="false">E37-E38</f>
        <v>825.426519945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16.5</v>
      </c>
      <c r="C7" s="35" t="n">
        <f aca="false">-'4_PnL_Forecast'!C38</f>
        <v>34.5</v>
      </c>
      <c r="D7" s="35" t="n">
        <f aca="false">-'4_PnL_Forecast'!D38</f>
        <v>52.5</v>
      </c>
      <c r="E7" s="35" t="n">
        <f aca="false">-'4_PnL_Forecast'!E38</f>
        <v>-46.133480055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-333.5</v>
      </c>
      <c r="C8" s="28" t="n">
        <f aca="false">C5+C6+C7</f>
        <v>-297.5</v>
      </c>
      <c r="D8" s="28" t="n">
        <f aca="false">D5+D6+D7</f>
        <v>54.5</v>
      </c>
      <c r="E8" s="28" t="n">
        <f aca="false">E5+E6+E7</f>
        <v>871.866519945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116.88</v>
      </c>
      <c r="C21" s="32" t="n">
        <f aca="false">C8+C12+C19</f>
        <v>821.03703</v>
      </c>
      <c r="D21" s="32" t="n">
        <f aca="false">D8+D12+D19</f>
        <v>-204.94310978</v>
      </c>
      <c r="E21" s="32" t="n">
        <f aca="false">E8+E12+E19</f>
        <v>625.426519945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116.88</v>
      </c>
      <c r="D22" s="36" t="n">
        <f aca="false">C23</f>
        <v>937.91703</v>
      </c>
      <c r="E22" s="36" t="n">
        <f aca="false">D23</f>
        <v>732.97392022</v>
      </c>
      <c r="F22" s="36" t="n">
        <f aca="false">E23</f>
        <v>1358.400440165</v>
      </c>
      <c r="G22" s="36" t="n">
        <f aca="false">F23</f>
        <v>2910.340440165</v>
      </c>
      <c r="H22" s="36" t="n">
        <f aca="false">G23</f>
        <v>6350.800440165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116.88</v>
      </c>
      <c r="C23" s="37" t="n">
        <f aca="false">C22+C21</f>
        <v>937.91703</v>
      </c>
      <c r="D23" s="37" t="n">
        <f aca="false">D22+D21</f>
        <v>732.97392022</v>
      </c>
      <c r="E23" s="37" t="n">
        <f aca="false">E22+E21</f>
        <v>1358.400440165</v>
      </c>
      <c r="F23" s="37" t="n">
        <f aca="false">F22+F21</f>
        <v>2910.340440165</v>
      </c>
      <c r="G23" s="37" t="n">
        <f aca="false">G22+G21</f>
        <v>6350.800440165</v>
      </c>
      <c r="H23" s="37" t="n">
        <f aca="false">H22+H21</f>
        <v>12737.030440165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116.88</v>
      </c>
      <c r="C5" s="35" t="n">
        <f aca="false">'5_Cashflow'!C23</f>
        <v>937.91703</v>
      </c>
      <c r="D5" s="35" t="n">
        <f aca="false">'5_Cashflow'!D23</f>
        <v>732.97392022</v>
      </c>
      <c r="E5" s="35" t="n">
        <f aca="false">'5_Cashflow'!E23</f>
        <v>1358.400440165</v>
      </c>
      <c r="F5" s="35" t="n">
        <f aca="false">'5_Cashflow'!F23</f>
        <v>2910.340440165</v>
      </c>
      <c r="G5" s="35" t="n">
        <f aca="false">'5_Cashflow'!G23</f>
        <v>6350.800440165</v>
      </c>
      <c r="H5" s="35" t="n">
        <f aca="false">'5_Cashflow'!H23</f>
        <v>12737.030440165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146.88</v>
      </c>
      <c r="C8" s="28" t="n">
        <f aca="false">SUM(C5:C7)</f>
        <v>1002.91703</v>
      </c>
      <c r="D8" s="28" t="n">
        <f aca="false">SUM(D5:D7)</f>
        <v>867.97392022</v>
      </c>
      <c r="E8" s="28" t="n">
        <f aca="false">SUM(E5:E7)</f>
        <v>1608.400440165</v>
      </c>
      <c r="F8" s="28" t="n">
        <f aca="false">SUM(F5:F7)</f>
        <v>3340.340440165</v>
      </c>
      <c r="G8" s="28" t="n">
        <f aca="false">SUM(G5:G7)</f>
        <v>7020.800440165</v>
      </c>
      <c r="H8" s="28" t="n">
        <f aca="false">SUM(H5:H7)</f>
        <v>13727.030440165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276.88</v>
      </c>
      <c r="C12" s="37" t="n">
        <f aca="false">C8+C11</f>
        <v>1262.91703</v>
      </c>
      <c r="D12" s="37" t="n">
        <f aca="false">D8+D11</f>
        <v>1267.97392022</v>
      </c>
      <c r="E12" s="37" t="n">
        <f aca="false">E8+E11</f>
        <v>2178.400440165</v>
      </c>
      <c r="F12" s="37" t="n">
        <f aca="false">F8+F11</f>
        <v>4110.340440165</v>
      </c>
      <c r="G12" s="37" t="n">
        <f aca="false">G8+G11</f>
        <v>8030.800440165</v>
      </c>
      <c r="H12" s="37" t="n">
        <f aca="false">H8+H11</f>
        <v>15027.030440165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-352.74</v>
      </c>
      <c r="C25" s="36" t="n">
        <f aca="false">B25+'4_PnL_Forecast'!C39</f>
        <v>-678.16594</v>
      </c>
      <c r="D25" s="36" t="n">
        <f aca="false">C25+'4_PnL_Forecast'!D39</f>
        <v>-687.02607978</v>
      </c>
      <c r="E25" s="36" t="n">
        <f aca="false">D25+'4_PnL_Forecast'!E39</f>
        <v>138.400440165</v>
      </c>
      <c r="F25" s="36" t="n">
        <f aca="false">E25+'4_PnL_Forecast'!F39</f>
        <v>1935.340440165</v>
      </c>
      <c r="G25" s="36" t="n">
        <f aca="false">F25+'4_PnL_Forecast'!G39</f>
        <v>5675.800440165</v>
      </c>
      <c r="H25" s="36" t="n">
        <f aca="false">G25+'4_PnL_Forecast'!H39</f>
        <v>12442.030440165</v>
      </c>
    </row>
    <row r="26" customFormat="false" ht="15" hidden="false" customHeight="true" outlineLevel="0" collapsed="false">
      <c r="A26" s="11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525.000000000001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-272.74</v>
      </c>
      <c r="C27" s="37" t="n">
        <f aca="false">C24+C25+C26</f>
        <v>501.83406</v>
      </c>
      <c r="D27" s="37" t="n">
        <f aca="false">D24+D25+D26</f>
        <v>639.97392022</v>
      </c>
      <c r="E27" s="37" t="n">
        <f aca="false">E24+E25+E26</f>
        <v>1648.400440165</v>
      </c>
      <c r="F27" s="37" t="n">
        <f aca="false">F24+F25+F26</f>
        <v>3660.340440165</v>
      </c>
      <c r="G27" s="37" t="n">
        <f aca="false">G24+G25+G26</f>
        <v>7640.800440165</v>
      </c>
      <c r="H27" s="37" t="n">
        <f aca="false">H24+H25+H26</f>
        <v>14667.030440165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276.88</v>
      </c>
      <c r="C29" s="37" t="n">
        <f aca="false">C21+C27</f>
        <v>1262.91703</v>
      </c>
      <c r="D29" s="37" t="n">
        <f aca="false">D21+D27</f>
        <v>1267.97392022</v>
      </c>
      <c r="E29" s="37" t="n">
        <f aca="false">E21+E27</f>
        <v>2178.400440165</v>
      </c>
      <c r="F29" s="37" t="n">
        <f aca="false">F21+F27</f>
        <v>4110.340440165</v>
      </c>
      <c r="G29" s="37" t="n">
        <f aca="false">G21+G27</f>
        <v>8030.800440165</v>
      </c>
      <c r="H29" s="37" t="n">
        <f aca="false">H21+H27</f>
        <v>15027.030440165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7.344</v>
      </c>
      <c r="C32" s="42" t="n">
        <f aca="false">IFERROR(C8/C18,0)</f>
        <v>25.07292575</v>
      </c>
      <c r="D32" s="42" t="n">
        <f aca="false">IFERROR(D8/D18,0)</f>
        <v>12.7643223561765</v>
      </c>
      <c r="E32" s="42" t="n">
        <f aca="false">IFERROR(E8/E18,0)</f>
        <v>14.6218221833182</v>
      </c>
      <c r="F32" s="42" t="n">
        <f aca="false">IFERROR(F8/F18,0)</f>
        <v>19.6490614127353</v>
      </c>
      <c r="G32" s="42" t="n">
        <f aca="false">IFERROR(G8/G18,0)</f>
        <v>28.08320176066</v>
      </c>
      <c r="H32" s="42" t="n">
        <f aca="false">IFERROR(H8/H18,0)</f>
        <v>38.1306401115695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247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248</v>
      </c>
      <c r="B5" s="50" t="s">
        <v>249</v>
      </c>
      <c r="C5" s="51" t="n">
        <f aca="false">IFERROR('4_PnL_Forecast'!C9/'4_PnL_Forecast'!B9-1,0)</f>
        <v>6.6</v>
      </c>
      <c r="D5" s="51" t="n">
        <f aca="false">IFERROR('4_PnL_Forecast'!D9/'4_PnL_Forecast'!C9-1,0)</f>
        <v>2</v>
      </c>
      <c r="E5" s="51" t="n">
        <f aca="false">IFERROR('4_PnL_Forecast'!E9/'4_PnL_Forecast'!D9-1,0)</f>
        <v>1.45614035087719</v>
      </c>
      <c r="F5" s="51" t="n">
        <f aca="false">IFERROR('4_PnL_Forecast'!F9/'4_PnL_Forecast'!E9-1,0)</f>
        <v>0.892857142857143</v>
      </c>
      <c r="G5" s="51" t="n">
        <f aca="false">IFERROR('4_PnL_Forecast'!G9/'4_PnL_Forecast'!F9-1,0)</f>
        <v>0.707547169811321</v>
      </c>
      <c r="H5" s="51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51" t="n">
        <f aca="false">IFERROR('4_PnL_Forecast'!B17/'4_PnL_Forecast'!B9,0)</f>
        <v>-0.2</v>
      </c>
      <c r="C6" s="51" t="n">
        <f aca="false">IFERROR('4_PnL_Forecast'!C17/'4_PnL_Forecast'!C9,0)</f>
        <v>0.728947368421053</v>
      </c>
      <c r="D6" s="51" t="n">
        <f aca="false">IFERROR('4_PnL_Forecast'!D17/'4_PnL_Forecast'!D9,0)</f>
        <v>0.837719298245614</v>
      </c>
      <c r="E6" s="51" t="n">
        <f aca="false">IFERROR('4_PnL_Forecast'!E17/'4_PnL_Forecast'!E9,0)</f>
        <v>0.876785714285714</v>
      </c>
      <c r="F6" s="51" t="n">
        <f aca="false">IFERROR('4_PnL_Forecast'!F17/'4_PnL_Forecast'!F9,0)</f>
        <v>0.882075471698113</v>
      </c>
      <c r="G6" s="51" t="n">
        <f aca="false">IFERROR('4_PnL_Forecast'!G17/'4_PnL_Forecast'!G9,0)</f>
        <v>0.888397790055249</v>
      </c>
      <c r="H6" s="51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51" t="n">
        <f aca="false">IFERROR('4_PnL_Forecast'!B31/'4_PnL_Forecast'!B9,0)</f>
        <v>-6.8</v>
      </c>
      <c r="C7" s="51" t="n">
        <f aca="false">IFERROR('4_PnL_Forecast'!C31/'4_PnL_Forecast'!C9,0)</f>
        <v>-0.807894736842105</v>
      </c>
      <c r="D7" s="51" t="n">
        <f aca="false">IFERROR('4_PnL_Forecast'!D31/'4_PnL_Forecast'!D9,0)</f>
        <v>0.0456140350877193</v>
      </c>
      <c r="E7" s="51" t="n">
        <f aca="false">IFERROR('4_PnL_Forecast'!E31/'4_PnL_Forecast'!E9,0)</f>
        <v>0.358214285714286</v>
      </c>
      <c r="F7" s="51" t="n">
        <f aca="false">IFERROR('4_PnL_Forecast'!F31/'4_PnL_Forecast'!F9,0)</f>
        <v>0.480566037735849</v>
      </c>
      <c r="G7" s="51" t="n">
        <f aca="false">IFERROR('4_PnL_Forecast'!G31/'4_PnL_Forecast'!G9,0)</f>
        <v>0.569944751381216</v>
      </c>
      <c r="H7" s="51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250</v>
      </c>
      <c r="B8" s="35" t="n">
        <f aca="false">'5_Cashflow'!B23</f>
        <v>116.88</v>
      </c>
      <c r="C8" s="35" t="n">
        <f aca="false">'5_Cashflow'!C23</f>
        <v>937.91703</v>
      </c>
      <c r="D8" s="35" t="n">
        <f aca="false">'5_Cashflow'!D23</f>
        <v>732.97392022</v>
      </c>
      <c r="E8" s="35" t="n">
        <f aca="false">'5_Cashflow'!E23</f>
        <v>1358.400440165</v>
      </c>
      <c r="F8" s="35" t="n">
        <f aca="false">'5_Cashflow'!F23</f>
        <v>2910.340440165</v>
      </c>
      <c r="G8" s="35" t="n">
        <f aca="false">'5_Cashflow'!G23</f>
        <v>6350.800440165</v>
      </c>
      <c r="H8" s="35" t="n">
        <f aca="false">'5_Cashflow'!H23</f>
        <v>12737.030440165</v>
      </c>
    </row>
    <row r="9" customFormat="false" ht="15" hidden="false" customHeight="true" outlineLevel="0" collapsed="false">
      <c r="A9" s="52" t="s">
        <v>251</v>
      </c>
      <c r="B9" s="53" t="n">
        <f aca="false">'6_Balance_Sheet'!B32</f>
        <v>7.344</v>
      </c>
      <c r="C9" s="53" t="n">
        <f aca="false">'6_Balance_Sheet'!C32</f>
        <v>25.07292575</v>
      </c>
      <c r="D9" s="53" t="n">
        <f aca="false">'6_Balance_Sheet'!D32</f>
        <v>12.7643223561765</v>
      </c>
      <c r="E9" s="53" t="n">
        <f aca="false">'6_Balance_Sheet'!E32</f>
        <v>14.6218221833182</v>
      </c>
      <c r="F9" s="53" t="n">
        <f aca="false">'6_Balance_Sheet'!F32</f>
        <v>19.6490614127353</v>
      </c>
      <c r="G9" s="53" t="n">
        <f aca="false">'6_Balance_Sheet'!G32</f>
        <v>28.08320176066</v>
      </c>
      <c r="H9" s="53" t="n">
        <f aca="false">'6_Balance_Sheet'!H32</f>
        <v>38.1306401115695</v>
      </c>
    </row>
    <row r="10" customFormat="false" ht="15" hidden="false" customHeight="true" outlineLevel="0" collapsed="false">
      <c r="A10" s="34" t="s">
        <v>252</v>
      </c>
      <c r="B10" s="54" t="n">
        <f aca="false">IFERROR('4_PnL_Forecast'!B31/MAX(1,('3_Interest_Repayment'!H4+'3_Interest_Repayment'!F4+'3_Interest_Repayment'!I4)/1000),0)</f>
        <v>-35.3430353430353</v>
      </c>
      <c r="C10" s="54" t="n">
        <f aca="false">IFERROR('4_PnL_Forecast'!C31/MAX(1,('3_Interest_Repayment'!H5+'3_Interest_Repayment'!F5+'3_Interest_Repayment'!I5)/1000),0)</f>
        <v>-26.7818898592599</v>
      </c>
      <c r="D10" s="54" t="n">
        <f aca="false">IFERROR('4_PnL_Forecast'!D31/MAX(1,('3_Interest_Repayment'!H6+'3_Interest_Repayment'!F6+'3_Interest_Repayment'!I6)/1000),0)</f>
        <v>0.242488555838178</v>
      </c>
      <c r="E10" s="54" t="n">
        <f aca="false">IFERROR('4_PnL_Forecast'!E31/MAX(1,('3_Interest_Repayment'!H7+'3_Interest_Repayment'!F7+'3_Interest_Repayment'!I7)/1000),0)</f>
        <v>5.52799823633157</v>
      </c>
      <c r="F10" s="54" t="n">
        <f aca="false">IFERROR('4_PnL_Forecast'!F31/MAX(1,('3_Interest_Repayment'!H8+'3_Interest_Repayment'!F8+'3_Interest_Repayment'!I8)/1000),0)</f>
        <v>14.8877718026654</v>
      </c>
      <c r="G10" s="54" t="n">
        <f aca="false">IFERROR('4_PnL_Forecast'!G31/MAX(1,('3_Interest_Repayment'!H9+'3_Interest_Repayment'!F9+'3_Interest_Repayment'!I9)/1000),0)</f>
        <v>32.093081134893</v>
      </c>
      <c r="H10" s="54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254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255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0" t="n">
        <f aca="false">B14-'4_PnL_Forecast'!B29</f>
        <v>-337</v>
      </c>
      <c r="C15" s="30" t="n">
        <f aca="false">C14-'4_PnL_Forecast'!C29</f>
        <v>-390.1</v>
      </c>
      <c r="D15" s="30" t="n">
        <f aca="false">D14-'4_PnL_Forecast'!D29</f>
        <v>-234.5</v>
      </c>
      <c r="E15" s="30" t="n">
        <f aca="false">E14-'4_PnL_Forecast'!E29</f>
        <v>266.5</v>
      </c>
      <c r="F15" s="30" t="n">
        <f aca="false">F14-'4_PnL_Forecast'!F29</f>
        <v>1144.5</v>
      </c>
      <c r="G15" s="30" t="n">
        <f aca="false">G14-'4_PnL_Forecast'!G29</f>
        <v>2746</v>
      </c>
      <c r="H15" s="30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5" t="n">
        <f aca="false">IFERROR(B15/MAX(1,('3_Interest_Repayment'!H4+'3_Interest_Repayment'!F4+'3_Interest_Repayment'!I4)/1000),0)</f>
        <v>-35.031185031185</v>
      </c>
      <c r="C16" s="55" t="n">
        <f aca="false">IFERROR(C15/MAX(1,('3_Interest_Repayment'!H5+'3_Interest_Repayment'!F5+'3_Interest_Repayment'!I5)/1000),0)</f>
        <v>-34.0313199807729</v>
      </c>
      <c r="D16" s="55" t="n">
        <f aca="false">IFERROR(D15/MAX(1,('3_Interest_Repayment'!H6+'3_Interest_Repayment'!F6+'3_Interest_Repayment'!I6)/1000),0)</f>
        <v>-1.09353012200101</v>
      </c>
      <c r="E16" s="55" t="n">
        <f aca="false">IFERROR(E15/MAX(1,('3_Interest_Repayment'!H7+'3_Interest_Repayment'!F7+'3_Interest_Repayment'!I7)/1000),0)</f>
        <v>1.46880511463845</v>
      </c>
      <c r="F16" s="55" t="n">
        <f aca="false">IFERROR(F15/MAX(1,('3_Interest_Repayment'!H8+'3_Interest_Repayment'!F8+'3_Interest_Repayment'!I8)/1000),0)</f>
        <v>6.689852700491</v>
      </c>
      <c r="G16" s="55" t="n">
        <f aca="false">IFERROR(G15/MAX(1,('3_Interest_Repayment'!H9+'3_Interest_Repayment'!F9+'3_Interest_Repayment'!I9)/1000),0)</f>
        <v>17.0856147336984</v>
      </c>
      <c r="H16" s="55" t="n">
        <f aca="false">IFERROR(H15/MAX(1,('3_Interest_Repayment'!H10+'3_Interest_Repayment'!F10+'3_Interest_Repayment'!I10)/1000),0)</f>
        <v>35.5081138600692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259</v>
      </c>
      <c r="B19" s="56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4" t="s">
        <v>261</v>
      </c>
      <c r="B20" s="53" t="n">
        <f aca="false">MIN('6_Balance_Sheet'!B32:H32)</f>
        <v>7.344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2026-05-09T22:36:28Z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