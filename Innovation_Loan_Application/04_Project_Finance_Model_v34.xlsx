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_Cover_Assumptions" sheetId="1" state="visible" r:id="rId3"/>
    <sheet name="2_Drawdown_Schedule" sheetId="2" state="visible" r:id="rId4"/>
    <sheet name="3_Interest_Repayment" sheetId="3" state="visible" r:id="rId5"/>
    <sheet name="4_PnL_Forecast" sheetId="4" state="visible" r:id="rId6"/>
    <sheet name="5_Cashflow" sheetId="5" state="visible" r:id="rId7"/>
    <sheet name="6_Balance_Sheet" sheetId="6" state="visible" r:id="rId8"/>
    <sheet name="7_Funding_Use" sheetId="7" state="visible" r:id="rId9"/>
    <sheet name="8_KPI_Dashboard"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<sst xmlns="http://schemas.openxmlformats.org/spreadsheetml/2006/main" count="290" uniqueCount="259">
  <si>
    <t xml:space="preserve">Defence Innovation Loan FY26/27 Cycle 1 - Project Finance Model</t>
  </si>
  <si>
    <t xml:space="preserve">Applicant:</t>
  </si>
  <si>
    <t xml:space="preserve">Safetech Global Limited (trading as OTShield)</t>
  </si>
  <si>
    <t xml:space="preserve">Programme:</t>
  </si>
  <si>
    <t xml:space="preserve">UKDI Defence Innovation Loan FY26/27 - Cycle 1</t>
  </si>
  <si>
    <t xml:space="preserve">Submission deadline:</t>
  </si>
  <si>
    <t xml:space="preserve">12:00 BST Tue 19 May 2026</t>
  </si>
  <si>
    <t xml:space="preserve">Stage 1 decision:</t>
  </si>
  <si>
    <t xml:space="preserve">07 Jul 2026 (feedback 28 Jul 2026)</t>
  </si>
  <si>
    <t xml:space="preserve">Innovation Outline ID:</t>
  </si>
  <si>
    <t xml:space="preserve">DIOL227223</t>
  </si>
  <si>
    <t xml:space="preserve">Innovation Partner:</t>
  </si>
  <si>
    <t xml:space="preserve">Paul Wright (UKDI)</t>
  </si>
  <si>
    <t xml:space="preserve">Loan Parameters (Cycle 1 published terms)</t>
  </si>
  <si>
    <t xml:space="preserve">Loan amount (£)</t>
  </si>
  <si>
    <t xml:space="preserve">Cycle 1 maximum</t>
  </si>
  <si>
    <t xml:space="preserve">Project period (months)</t>
  </si>
  <si>
    <t xml:space="preserve">R&amp;D phase, within 3-yr cap</t>
  </si>
  <si>
    <t xml:space="preserve">Repayment period (months)</t>
  </si>
  <si>
    <t xml:space="preserve">5 years post-project</t>
  </si>
  <si>
    <t xml:space="preserve">Project start (planned)</t>
  </si>
  <si>
    <t xml:space="preserve">01-Aug-2026</t>
  </si>
  <si>
    <t xml:space="preserve">subject to UKDI/IUK</t>
  </si>
  <si>
    <t xml:space="preserve">Project end (planned)</t>
  </si>
  <si>
    <t xml:space="preserve">31-Jan-2028</t>
  </si>
  <si>
    <t xml:space="preserve">M18</t>
  </si>
  <si>
    <t xml:space="preserve">Repayment start (planned)</t>
  </si>
  <si>
    <t xml:space="preserve">01-Feb-2028</t>
  </si>
  <si>
    <t xml:space="preserve">Y4 of company plan</t>
  </si>
  <si>
    <t xml:space="preserve">Repayment end (planned)</t>
  </si>
  <si>
    <t xml:space="preserve">31-Jan-2033</t>
  </si>
  <si>
    <t xml:space="preserve">Y8</t>
  </si>
  <si>
    <t xml:space="preserve">Drawdown frequency</t>
  </si>
  <si>
    <t xml:space="preserve">Quarterly</t>
  </si>
  <si>
    <t xml:space="preserve">6 drawdowns over 18 months</t>
  </si>
  <si>
    <t xml:space="preserve">Interest rate - project period</t>
  </si>
  <si>
    <t xml:space="preserve">Cycle 1 published rate</t>
  </si>
  <si>
    <t xml:space="preserve">Interest rate - deferred (post-project, pre-repay)</t>
  </si>
  <si>
    <t xml:space="preserve">applied to outstanding</t>
  </si>
  <si>
    <t xml:space="preserve">Interest rate - repayment period</t>
  </si>
  <si>
    <t xml:space="preserve">Subsidy Intensity &amp; Compliance Targets</t>
  </si>
  <si>
    <t xml:space="preserve">Subsidy intensity cap (Innovate UK SME Industrial Research)</t>
  </si>
  <si>
    <t xml:space="preserve">Innovate UK rule - subsidy intensity must stay below 80% for SME IR</t>
  </si>
  <si>
    <t xml:space="preserve">Liquidity ratio target (current assets / current liabilities)</t>
  </si>
  <si>
    <t xml:space="preserve">must be ≥ 1.1:1 throughout project</t>
  </si>
  <si>
    <t xml:space="preserve">Team Cost Assumptions (loan-funded portion)</t>
  </si>
  <si>
    <t xml:space="preserve">Role</t>
  </si>
  <si>
    <t xml:space="preserve">Annual £</t>
  </si>
  <si>
    <t xml:space="preserve">FTE</t>
  </si>
  <si>
    <t xml:space="preserve">Months on project</t>
  </si>
  <si>
    <t xml:space="preserve">Cost £</t>
  </si>
  <si>
    <t xml:space="preserve">Fatma Erturk - CEO</t>
  </si>
  <si>
    <t xml:space="preserve">[CTO Name] - CTO (new hire, M1-M3 onboarding)</t>
  </si>
  <si>
    <t xml:space="preserve">Alan Jenkins - Cyber Security Advisor</t>
  </si>
  <si>
    <t xml:space="preserve">Jon Medvenics - Senior Cyber Security Expert and AI Verifier</t>
  </si>
  <si>
    <t xml:space="preserve">Diana Polansky - Marketing Advisor</t>
  </si>
  <si>
    <t xml:space="preserve">Henrique Santos - Junior Marketing &amp; Customer Success Lead (dual role)</t>
  </si>
  <si>
    <t xml:space="preserve">Dhruv Rathod - Junior Cyber Security Engineer</t>
  </si>
  <si>
    <t xml:space="preserve">Subtotal - internal team</t>
  </si>
  <si>
    <t xml:space="preserve">Other Project Costs (loan-funded)</t>
  </si>
  <si>
    <t xml:space="preserve">Item</t>
  </si>
  <si>
    <t xml:space="preserve">Cloud / lab infrastructure (UK sovereign)</t>
  </si>
  <si>
    <t xml:space="preserve">ICS hardware (PLCs, RTUs, HMI test rigs)</t>
  </si>
  <si>
    <t xml:space="preserve">Pen-test / IEC 62443 assurance</t>
  </si>
  <si>
    <t xml:space="preserve">Travel &amp; customer pilots (UK CNI sites + 2 defence refs)</t>
  </si>
  <si>
    <t xml:space="preserve">Legal / IP / patents</t>
  </si>
  <si>
    <t xml:space="preserve">Cyber-insurance &amp; DPIA</t>
  </si>
  <si>
    <t xml:space="preserve">Contingency (~7.5%)</t>
  </si>
  <si>
    <t xml:space="preserve">Subtotal - other costs</t>
  </si>
  <si>
    <t xml:space="preserve">TOTAL ELIGIBLE PROJECT COSTS (loan-eligible base)</t>
  </si>
  <si>
    <t xml:space="preserve">Matched funding (VC follow-on round £1M, soft interest - drawn against £190k matched portion at M9 trigger)</t>
  </si>
  <si>
    <t xml:space="preserve">TOTAL PROJECT FINANCING (loan + matched)</t>
  </si>
  <si>
    <t xml:space="preserve">Subsidy intensity (Loan / Total eligible costs)</t>
  </si>
  <si>
    <t xml:space="preserve">must be ≤ 80% - flagged YELLOW (current 79.49%)</t>
  </si>
  <si>
    <t xml:space="preserve">Compliance status - Industrial Research SME (up to 80% intensity)</t>
  </si>
  <si>
    <t xml:space="preserve">MATCHED FUNDING NOTE: The £190,000 matched funding requirement is sourced from a planned £1,000,000 follow-on VC round currently under live engagement. A UK cyber/defence-focused VC has expressed interest in participating once OTShield demonstrates initial commercial traction. The trigger is signed first paying CNI customer (target M9) which converts current soft interest into committed funding. The Innovation Loan acts as the catalyst capital that triggers this commercialisation milestone investors are waiting for. Of the £1M round, £190K is allocated to matched-funding deployment under Innovate UK Loans rules; the remainder funds Y2-Y3 commercial scale-up. Confirmation of VC commitment expected by M6-M9, ahead of matched-funding deployment requirement. Project drawdown is gated on confirmation.</t>
  </si>
  <si>
    <t xml:space="preserve">Y3 TRANSITIONAL CASH NOTE: Year 3 (FY28) shows a transitional cash position (~£-143k) due to loan repayment commencement coinciding with operating revenue scaling phase. Mitigations available: (i) R&amp;D tax credit refund expected Q1 FY28 (~£100-150k against accumulated R&amp;D spend), (ii) M18 ARR run-rate of £350k+ delivers Y3 cash inflow, (iii) Innovate UK Loans hardship grace period extension if needed, (iv) trade payable management flex (30-60 days). Cashflow returns to positive in Y4 (£306k+) with strong scaling thereafter (£11M closing cash by Y7).</t>
  </si>
  <si>
    <t xml:space="preserve">Quarterly Drawdown Schedule - £700K over 18 months</t>
  </si>
  <si>
    <t xml:space="preserve">Tranche</t>
  </si>
  <si>
    <t xml:space="preserve">Quarter</t>
  </si>
  <si>
    <t xml:space="preserve">Date</t>
  </si>
  <si>
    <t xml:space="preserve">Drawdown £</t>
  </si>
  <si>
    <t xml:space="preserve">Cumulative £</t>
  </si>
  <si>
    <t xml:space="preserve">Milestone gate</t>
  </si>
  <si>
    <t xml:space="preserve">Q1 (M1-M3)</t>
  </si>
  <si>
    <t xml:space="preserve">Mobilisation: CTO onboarded, sovereign UK lab live</t>
  </si>
  <si>
    <t xml:space="preserve">Q2 (M4-M6)</t>
  </si>
  <si>
    <t xml:space="preserve">01-Nov-2026</t>
  </si>
  <si>
    <t xml:space="preserve">M6: deception telemetry → TAXII/MISP feed live</t>
  </si>
  <si>
    <t xml:space="preserve">Q3 (M7-M9)</t>
  </si>
  <si>
    <t xml:space="preserve">01-Feb-2027</t>
  </si>
  <si>
    <t xml:space="preserve">M9: first CNI lighthouse pilot (utility) signed</t>
  </si>
  <si>
    <t xml:space="preserve">Q4 (M10-M12)</t>
  </si>
  <si>
    <t xml:space="preserve">01-May-2027</t>
  </si>
  <si>
    <t xml:space="preserve">M12: 3 CNI pilots running, IEC 62443 stage gate</t>
  </si>
  <si>
    <t xml:space="preserve">Q5 (M13-M15)</t>
  </si>
  <si>
    <t xml:space="preserve">01-Aug-2027</t>
  </si>
  <si>
    <t xml:space="preserve">M15: 1st defence reference environment live</t>
  </si>
  <si>
    <t xml:space="preserve">Q6 (M16-M18)</t>
  </si>
  <si>
    <t xml:space="preserve">01-Nov-2027</t>
  </si>
  <si>
    <t xml:space="preserve">M18: TRL 9, 5 CNI lighthouses + 2 defence refs, £350K ARR</t>
  </si>
  <si>
    <t xml:space="preserve">TOTAL</t>
  </si>
  <si>
    <t xml:space="preserve">Interest Accrual + Repayment Schedule (Y1-Y8)</t>
  </si>
  <si>
    <t xml:space="preserve">Period</t>
  </si>
  <si>
    <t xml:space="preserve">Phase</t>
  </si>
  <si>
    <t xml:space="preserve">Opening balance £</t>
  </si>
  <si>
    <t xml:space="preserve">Drawdowns £</t>
  </si>
  <si>
    <t xml:space="preserve">Interest rate</t>
  </si>
  <si>
    <t xml:space="preserve">Interest accrued £</t>
  </si>
  <si>
    <t xml:space="preserve">Principal repaid £</t>
  </si>
  <si>
    <t xml:space="preserve">Interest paid £</t>
  </si>
  <si>
    <t xml:space="preserve">Closing balance £</t>
  </si>
  <si>
    <t xml:space="preserve">Y1 Aug26-Jul27</t>
  </si>
  <si>
    <t xml:space="preserve">Project (Yr1)</t>
  </si>
  <si>
    <t xml:space="preserve">Y2 Aug27-Jan28</t>
  </si>
  <si>
    <t xml:space="preserve">Project (Yr2 H1)</t>
  </si>
  <si>
    <t xml:space="preserve">Repay Y1 (Feb28-Jan29)</t>
  </si>
  <si>
    <t xml:space="preserve">Repayment Yr1</t>
  </si>
  <si>
    <t xml:space="preserve">Repay Y2 (Feb29-Jan30)</t>
  </si>
  <si>
    <t xml:space="preserve">Repayment Yr2</t>
  </si>
  <si>
    <t xml:space="preserve">Repay Y3 (Feb30-Jan31)</t>
  </si>
  <si>
    <t xml:space="preserve">Repayment Yr3</t>
  </si>
  <si>
    <t xml:space="preserve">Repay Y4 (Feb31-Jan32)</t>
  </si>
  <si>
    <t xml:space="preserve">Repayment Yr4</t>
  </si>
  <si>
    <t xml:space="preserve">Repay Y5 (Feb32-Jan33)</t>
  </si>
  <si>
    <t xml:space="preserve">Repayment Yr5</t>
  </si>
  <si>
    <t xml:space="preserve">TOTALS</t>
  </si>
  <si>
    <t xml:space="preserve">Notes:</t>
  </si>
  <si>
    <t xml:space="preserve">1) Cycle 1 published rates: 3.7% during 18-month project + 3.7% on outstanding during deferred period + 7.4% during 5-yr repayment.</t>
  </si>
  <si>
    <t xml:space="preserve">2) Project ends 31 Jan 2028 (M18). Repayment starts 01 Feb 2028 (no deferred gap year in this plan).</t>
  </si>
  <si>
    <t xml:space="preserve">3) Equal annual principal repayment £200k + accrued interest paid annually. Closing balance reaches zero by end of Repay Y5.</t>
  </si>
  <si>
    <t xml:space="preserve">4) Drawdowns shown annually; per quarterly schedule see sheet 2_Drawdown_Schedule.</t>
  </si>
  <si>
    <t xml:space="preserve">5) Interest in project years uses mid-period convention (drawdowns weighted at 50%).</t>
  </si>
  <si>
    <t xml:space="preserve">Profit &amp; Loss Forecast - Y1 (FY26) to Y7 (FY32)</t>
  </si>
  <si>
    <t xml:space="preserve">£ thousands</t>
  </si>
  <si>
    <t xml:space="preserve">FY26 (Y1)</t>
  </si>
  <si>
    <t xml:space="preserve">FY27 (Y2)</t>
  </si>
  <si>
    <t xml:space="preserve">FY28 (Y3)</t>
  </si>
  <si>
    <t xml:space="preserve">FY29 (Y4)</t>
  </si>
  <si>
    <t xml:space="preserve">FY30 (Y5)</t>
  </si>
  <si>
    <t xml:space="preserve">FY31 (Y6)</t>
  </si>
  <si>
    <t xml:space="preserve">FY32 (Y7)</t>
  </si>
  <si>
    <t xml:space="preserve">Recurring ARR - UK CNI lighthouses</t>
  </si>
  <si>
    <t xml:space="preserve">Recurring ARR - Defence reference</t>
  </si>
  <si>
    <t xml:space="preserve">Recurring ARR - International CNI</t>
  </si>
  <si>
    <t xml:space="preserve">Professional services / pilots</t>
  </si>
  <si>
    <t xml:space="preserve">Threat-intel feed (TAXII/MISP)</t>
  </si>
  <si>
    <t xml:space="preserve">Total Revenue</t>
  </si>
  <si>
    <t xml:space="preserve">Cost of Sales (COGS)</t>
  </si>
  <si>
    <t xml:space="preserve">Cloud &amp; infrastructure</t>
  </si>
  <si>
    <t xml:space="preserve">ICS hardware &amp; lab</t>
  </si>
  <si>
    <t xml:space="preserve">Customer support &amp; success</t>
  </si>
  <si>
    <t xml:space="preserve">Total COGS</t>
  </si>
  <si>
    <t xml:space="preserve">Gross Profit</t>
  </si>
  <si>
    <t xml:space="preserve">Gross margin %</t>
  </si>
  <si>
    <t xml:space="preserve">Operating Expenses</t>
  </si>
  <si>
    <t xml:space="preserve">Personnel - engineering</t>
  </si>
  <si>
    <t xml:space="preserve">Personnel - commercial &amp; marketing</t>
  </si>
  <si>
    <t xml:space="preserve">Personnel - G&amp;A / leadership</t>
  </si>
  <si>
    <t xml:space="preserve">Marketing &amp; customer acquisition</t>
  </si>
  <si>
    <t xml:space="preserve">Travel &amp; events</t>
  </si>
  <si>
    <t xml:space="preserve">Legal / IP / compliance / audit</t>
  </si>
  <si>
    <t xml:space="preserve">Insurance &amp; professional services</t>
  </si>
  <si>
    <t xml:space="preserve">Other G&amp;A</t>
  </si>
  <si>
    <t xml:space="preserve">Total Opex</t>
  </si>
  <si>
    <t xml:space="preserve">EBITDA</t>
  </si>
  <si>
    <t xml:space="preserve">EBITDA margin %</t>
  </si>
  <si>
    <t xml:space="preserve">Depreciation &amp; Amortisation</t>
  </si>
  <si>
    <t xml:space="preserve">Operating Profit (EBIT)</t>
  </si>
  <si>
    <t xml:space="preserve">Interest expense (loan)</t>
  </si>
  <si>
    <t xml:space="preserve">Profit Before Tax</t>
  </si>
  <si>
    <t xml:space="preserve">Tax (25% on profits, R&amp;D credit Y1-Y3)</t>
  </si>
  <si>
    <t xml:space="preserve">Net Income</t>
  </si>
  <si>
    <t xml:space="preserve">Cashflow Forecast (Annual £k) - Y1 to Y7</t>
  </si>
  <si>
    <t xml:space="preserve">Operating cashflow</t>
  </si>
  <si>
    <t xml:space="preserve">EBITDA (from P&amp;L)</t>
  </si>
  <si>
    <t xml:space="preserve">Working capital movement</t>
  </si>
  <si>
    <t xml:space="preserve">Tax paid</t>
  </si>
  <si>
    <t xml:space="preserve">Net operating cashflow</t>
  </si>
  <si>
    <t xml:space="preserve">Investing cashflow</t>
  </si>
  <si>
    <t xml:space="preserve">Capex (lab, hardware, cloud)</t>
  </si>
  <si>
    <t xml:space="preserve">Net investing cashflow</t>
  </si>
  <si>
    <t xml:space="preserve">Financing cashflow</t>
  </si>
  <si>
    <t xml:space="preserve">Loan drawdowns (UKDI/IUK)</t>
  </si>
  <si>
    <t xml:space="preserve">Loan principal repayments</t>
  </si>
  <si>
    <t xml:space="preserve">Loan interest paid</t>
  </si>
  <si>
    <t xml:space="preserve">VC follow-on round (£1M total - Y2 inflow on commercial trigger M9)</t>
  </si>
  <si>
    <t xml:space="preserve">Net financing cashflow</t>
  </si>
  <si>
    <t xml:space="preserve">Net change in cash</t>
  </si>
  <si>
    <t xml:space="preserve">Opening cash</t>
  </si>
  <si>
    <t xml:space="preserve">Closing cash</t>
  </si>
  <si>
    <t xml:space="preserve">Balance Sheet Forecast (£k) - Y1 to Y7</t>
  </si>
  <si>
    <t xml:space="preserve">ASSETS</t>
  </si>
  <si>
    <t xml:space="preserve">Cash &amp; equivalents</t>
  </si>
  <si>
    <t xml:space="preserve">Trade receivables</t>
  </si>
  <si>
    <t xml:space="preserve">Other current assets</t>
  </si>
  <si>
    <t xml:space="preserve">Total current assets</t>
  </si>
  <si>
    <t xml:space="preserve">Property, plant &amp; equipment (net)</t>
  </si>
  <si>
    <t xml:space="preserve">Intangibles &amp; capitalised dev</t>
  </si>
  <si>
    <t xml:space="preserve">Total non-current assets</t>
  </si>
  <si>
    <t xml:space="preserve">TOTAL ASSETS</t>
  </si>
  <si>
    <t xml:space="preserve">LIABILITIES</t>
  </si>
  <si>
    <t xml:space="preserve">Trade payables</t>
  </si>
  <si>
    <t xml:space="preserve">Accruals &amp; other current liabs</t>
  </si>
  <si>
    <t xml:space="preserve">Loan - current portion (next 12m principal)</t>
  </si>
  <si>
    <t xml:space="preserve">Total current liabilities</t>
  </si>
  <si>
    <t xml:space="preserve">Loan - non-current portion</t>
  </si>
  <si>
    <t xml:space="preserve">Total non-current liabilities</t>
  </si>
  <si>
    <t xml:space="preserve">TOTAL LIABILITIES</t>
  </si>
  <si>
    <t xml:space="preserve">EQUITY</t>
  </si>
  <si>
    <t xml:space="preserve">Share capital + premium</t>
  </si>
  <si>
    <t xml:space="preserve">Retained earnings (cumulative)</t>
  </si>
  <si>
    <t xml:space="preserve">Other reserves (balancing item - share-based payments, IFRS adj)</t>
  </si>
  <si>
    <t xml:space="preserve">TOTAL EQUITY</t>
  </si>
  <si>
    <t xml:space="preserve">TOTAL LIABILITIES + EQUITY</t>
  </si>
  <si>
    <t xml:space="preserve">Check: Assets - (Liab+Equity)</t>
  </si>
  <si>
    <t xml:space="preserve">Liquidity ratio (Current assets / current liabilities)</t>
  </si>
  <si>
    <t xml:space="preserve">Target ≥ 1.10:1 (Innovate UK requirement)</t>
  </si>
  <si>
    <t xml:space="preserve">Use of £700K Loan against £880,567 Eligible Project Cost</t>
  </si>
  <si>
    <t xml:space="preserve">Category</t>
  </si>
  <si>
    <t xml:space="preserve">£</t>
  </si>
  <si>
    <t xml:space="preserve">% of total</t>
  </si>
  <si>
    <t xml:space="preserve">Notes</t>
  </si>
  <si>
    <t xml:space="preserve">Personnel - internal team (7 named members, 4.2 FTE-equivalent)</t>
  </si>
  <si>
    <t xml:space="preserve">6 existing members + 1 senior hire (CTO, M1-M3 onboarding)</t>
  </si>
  <si>
    <t xml:space="preserve">Cloud / sovereign UK lab infrastructure</t>
  </si>
  <si>
    <t xml:space="preserve">UK-sovereign cloud + telemetry + threat-intel feed infrastructure</t>
  </si>
  <si>
    <t xml:space="preserve">Multi-vendor protocol coverage</t>
  </si>
  <si>
    <t xml:space="preserve">Pen-test / IEC 62443 assurance (CREST-certified)</t>
  </si>
  <si>
    <t xml:space="preserve">Stage-gated assurance M6 / M12 / M18</t>
  </si>
  <si>
    <t xml:space="preserve">Travel &amp; customer pilots</t>
  </si>
  <si>
    <t xml:space="preserve">5 UK CNI lighthouses + 2 defence reference engagements</t>
  </si>
  <si>
    <t xml:space="preserve">UK + select international filings</t>
  </si>
  <si>
    <t xml:space="preserve">UK GDPR / NIS-aligned</t>
  </si>
  <si>
    <t xml:space="preserve">Contingency (~7.4%)</t>
  </si>
  <si>
    <t xml:space="preserve">Standard Cycle 1 contingency</t>
  </si>
  <si>
    <t xml:space="preserve">TOTAL ELIGIBLE PROJECT COST</t>
  </si>
  <si>
    <t xml:space="preserve">Innovate UK Loan request</t>
  </si>
  <si>
    <t xml:space="preserve">Subsidy intensity (loan / eligible cost) - target ≤ 80%</t>
  </si>
  <si>
    <t xml:space="preserve">Matched funding (VC follow-on round £1M, soft interest)</t>
  </si>
  <si>
    <t xml:space="preserve">£190K of £1M VC round; M9 trigger</t>
  </si>
  <si>
    <t xml:space="preserve">Key Ratios &amp; Stress Tests</t>
  </si>
  <si>
    <t xml:space="preserve">Metric</t>
  </si>
  <si>
    <t xml:space="preserve">Revenue (£k)</t>
  </si>
  <si>
    <t xml:space="preserve">Revenue YoY growth %</t>
  </si>
  <si>
    <t xml:space="preserve">n/a</t>
  </si>
  <si>
    <t xml:space="preserve">Closing cash (£k)</t>
  </si>
  <si>
    <t xml:space="preserve">Liquidity ratio</t>
  </si>
  <si>
    <t xml:space="preserve">Debt service coverage (EBITDA / debt service)</t>
  </si>
  <si>
    <t xml:space="preserve">Stress Test - Revenue −30% scenario</t>
  </si>
  <si>
    <t xml:space="preserve">Stressed revenue (−30%)</t>
  </si>
  <si>
    <t xml:space="preserve">Stressed gross profit (assume same GM)</t>
  </si>
  <si>
    <t xml:space="preserve">Stressed EBITDA</t>
  </si>
  <si>
    <t xml:space="preserve">Stressed DSCR</t>
  </si>
  <si>
    <t xml:space="preserve">Compliance Summary (Innovate UK gates)</t>
  </si>
  <si>
    <t xml:space="preserve">Subsidy intensity (loan / total project cost)</t>
  </si>
  <si>
    <t xml:space="preserve">Target ≤ 80% (SME Industrial Research)</t>
  </si>
  <si>
    <t xml:space="preserve">Min liquidity ratio across project (Y1-Y3)</t>
  </si>
  <si>
    <t xml:space="preserve">Target ≥ 1.10</t>
  </si>
</sst>
</file>

<file path=xl/styles.xml><?xml version="1.0" encoding="utf-8"?>
<styleSheet xmlns="http://schemas.openxmlformats.org/spreadsheetml/2006/main">
  <numFmts count="10">
    <numFmt numFmtId="164" formatCode="General"/>
    <numFmt numFmtId="165" formatCode="\£#,##0;&quot;(£&quot;#,##0\);\-"/>
    <numFmt numFmtId="166" formatCode="#,##0;\(#,##0\);\-"/>
    <numFmt numFmtId="167" formatCode="0.0%;\(0.0%\);\-"/>
    <numFmt numFmtId="168" formatCode="0.00"/>
    <numFmt numFmtId="169" formatCode="0.0"/>
    <numFmt numFmtId="170" formatCode="0"/>
    <numFmt numFmtId="171" formatCode="0.00%;\(0.00%\);\-"/>
    <numFmt numFmtId="172" formatCode="\£#,##0;&quot;(£&quot;#,##0\);\-"/>
    <numFmt numFmtId="173" formatCode="0.0%"/>
  </numFmts>
  <fonts count="12">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color rgb="FF000000"/>
      <name val="Arial"/>
      <family val="0"/>
      <charset val="1"/>
    </font>
    <font>
      <sz val="10"/>
      <color rgb="FF0000FF"/>
      <name val="Arial"/>
      <family val="0"/>
      <charset val="1"/>
    </font>
    <font>
      <b val="true"/>
      <sz val="10"/>
      <color rgb="FFFFFFFF"/>
      <name val="Arial"/>
      <family val="0"/>
      <charset val="1"/>
    </font>
    <font>
      <i val="true"/>
      <sz val="9"/>
      <color rgb="FF555555"/>
      <name val="Arial"/>
      <family val="0"/>
      <charset val="1"/>
    </font>
    <font>
      <sz val="10"/>
      <color rgb="FF000000"/>
      <name val="Arial"/>
      <family val="0"/>
      <charset val="1"/>
    </font>
    <font>
      <sz val="10"/>
      <color rgb="FF008000"/>
      <name val="Arial"/>
      <family val="0"/>
      <charset val="1"/>
    </font>
    <font>
      <b val="true"/>
      <sz val="11"/>
      <color rgb="FF000000"/>
      <name val="Arial"/>
      <family val="0"/>
      <charset val="1"/>
    </font>
  </fonts>
  <fills count="8">
    <fill>
      <patternFill patternType="none"/>
    </fill>
    <fill>
      <patternFill patternType="gray125"/>
    </fill>
    <fill>
      <patternFill patternType="solid">
        <fgColor rgb="FF1F3A5F"/>
        <bgColor rgb="FF333333"/>
      </patternFill>
    </fill>
    <fill>
      <patternFill patternType="solid">
        <fgColor rgb="FFFFF2CC"/>
        <bgColor rgb="FFFCE4D6"/>
      </patternFill>
    </fill>
    <fill>
      <patternFill patternType="solid">
        <fgColor rgb="FFD9E1F2"/>
        <bgColor rgb="FFE2EFDA"/>
      </patternFill>
    </fill>
    <fill>
      <patternFill patternType="solid">
        <fgColor rgb="FFF2F2F2"/>
        <bgColor rgb="FFE2EFDA"/>
      </patternFill>
    </fill>
    <fill>
      <patternFill patternType="solid">
        <fgColor rgb="FFE2EFDA"/>
        <bgColor rgb="FFF2F2F2"/>
      </patternFill>
    </fill>
    <fill>
      <patternFill patternType="solid">
        <fgColor rgb="FFFCE4D6"/>
        <bgColor rgb="FFFFF2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true" applyAlignment="true" applyProtection="false">
      <alignment horizontal="left" vertical="center" textRotation="0" wrapText="true" indent="0" shrinkToFit="false"/>
      <protection locked="true" hidden="false"/>
    </xf>
    <xf numFmtId="165" fontId="6" fillId="0"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left" vertical="center" textRotation="0" wrapText="true" indent="0" shrinkToFit="false"/>
      <protection locked="true" hidden="false"/>
    </xf>
    <xf numFmtId="166" fontId="6" fillId="0" borderId="0" xfId="0" applyFont="true" applyBorder="false" applyAlignment="true" applyProtection="false">
      <alignment horizontal="right" vertical="center" textRotation="0" wrapText="false" indent="0" shrinkToFit="false"/>
      <protection locked="true" hidden="false"/>
    </xf>
    <xf numFmtId="164" fontId="6" fillId="0" borderId="0" xfId="0" applyFont="true" applyBorder="false" applyAlignment="true" applyProtection="false">
      <alignment horizontal="right" vertical="center" textRotation="0" wrapText="false" indent="0" shrinkToFit="false"/>
      <protection locked="true" hidden="false"/>
    </xf>
    <xf numFmtId="167" fontId="6" fillId="0"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8" fontId="6" fillId="0" borderId="0" xfId="0" applyFont="true" applyBorder="false" applyAlignment="true" applyProtection="false">
      <alignment horizontal="right" vertical="center"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left" vertical="center" textRotation="0" wrapText="true" indent="0" shrinkToFit="false"/>
      <protection locked="true" hidden="false"/>
    </xf>
    <xf numFmtId="169" fontId="6" fillId="0" borderId="0" xfId="0" applyFont="true" applyBorder="false" applyAlignment="true" applyProtection="false">
      <alignment horizontal="right" vertical="center" textRotation="0" wrapText="false" indent="0" shrinkToFit="false"/>
      <protection locked="true" hidden="false"/>
    </xf>
    <xf numFmtId="170" fontId="6" fillId="0" borderId="0" xfId="0" applyFont="true" applyBorder="false" applyAlignment="true" applyProtection="false">
      <alignment horizontal="right" vertical="center" textRotation="0" wrapText="false" indent="0" shrinkToFit="false"/>
      <protection locked="true" hidden="false"/>
    </xf>
    <xf numFmtId="165" fontId="9" fillId="0" borderId="0" xfId="0" applyFont="true" applyBorder="false" applyAlignment="true" applyProtection="false">
      <alignment horizontal="right" vertical="center" textRotation="0" wrapText="false" indent="0" shrinkToFit="false"/>
      <protection locked="true" hidden="false"/>
    </xf>
    <xf numFmtId="165" fontId="5" fillId="0" borderId="0" xfId="0" applyFont="true" applyBorder="false" applyAlignment="true" applyProtection="false">
      <alignment horizontal="right" vertical="center" textRotation="0" wrapText="false" indent="0" shrinkToFit="false"/>
      <protection locked="true" hidden="false"/>
    </xf>
    <xf numFmtId="164" fontId="7" fillId="2" borderId="0" xfId="0" applyFont="true" applyBorder="false" applyAlignment="true" applyProtection="false">
      <alignment horizontal="left" vertical="center" textRotation="0" wrapText="true" indent="0" shrinkToFit="false"/>
      <protection locked="true" hidden="false"/>
    </xf>
    <xf numFmtId="165" fontId="7" fillId="2" borderId="0" xfId="0" applyFont="true" applyBorder="false" applyAlignment="true" applyProtection="false">
      <alignment horizontal="right" vertical="center" textRotation="0" wrapText="false" indent="0" shrinkToFit="false"/>
      <protection locked="true" hidden="false"/>
    </xf>
    <xf numFmtId="171" fontId="9" fillId="3"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true" applyAlignment="true" applyProtection="false">
      <alignment horizontal="left" vertical="center" textRotation="0" wrapText="tru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4" fontId="9" fillId="0"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7" fontId="10" fillId="0" borderId="0" xfId="0" applyFont="true" applyBorder="false" applyAlignment="true" applyProtection="false">
      <alignment horizontal="right" vertical="center" textRotation="0" wrapText="false" indent="0" shrinkToFit="false"/>
      <protection locked="true" hidden="false"/>
    </xf>
    <xf numFmtId="167" fontId="9" fillId="0" borderId="0" xfId="0" applyFont="true" applyBorder="false" applyAlignment="true" applyProtection="false">
      <alignment horizontal="right" vertical="center" textRotation="0" wrapText="false" indent="0" shrinkToFit="false"/>
      <protection locked="true" hidden="false"/>
    </xf>
    <xf numFmtId="165" fontId="7" fillId="2" borderId="0" xfId="0" applyFont="true" applyBorder="false" applyAlignment="true" applyProtection="false">
      <alignment horizontal="general" vertical="bottom" textRotation="0" wrapText="false" indent="0" shrinkToFit="false"/>
      <protection locked="true" hidden="false"/>
    </xf>
    <xf numFmtId="166" fontId="5" fillId="4" borderId="0" xfId="0" applyFont="true" applyBorder="false" applyAlignment="true" applyProtection="false">
      <alignment horizontal="right" vertical="center" textRotation="0" wrapText="false" indent="0" shrinkToFit="false"/>
      <protection locked="true" hidden="false"/>
    </xf>
    <xf numFmtId="164" fontId="11" fillId="5" borderId="0" xfId="0" applyFont="true" applyBorder="false" applyAlignment="true" applyProtection="false">
      <alignment horizontal="general" vertical="bottom" textRotation="0" wrapText="false" indent="0" shrinkToFit="false"/>
      <protection locked="true" hidden="false"/>
    </xf>
    <xf numFmtId="166" fontId="5" fillId="0" borderId="0" xfId="0" applyFont="true" applyBorder="false" applyAlignment="true" applyProtection="false">
      <alignment horizontal="right" vertical="center" textRotation="0" wrapText="false" indent="0" shrinkToFit="false"/>
      <protection locked="true" hidden="false"/>
    </xf>
    <xf numFmtId="164" fontId="5" fillId="6" borderId="0" xfId="0" applyFont="true" applyBorder="false" applyAlignment="true" applyProtection="false">
      <alignment horizontal="general" vertical="bottom" textRotation="0" wrapText="false" indent="0" shrinkToFit="false"/>
      <protection locked="true" hidden="false"/>
    </xf>
    <xf numFmtId="166" fontId="5" fillId="6" borderId="0" xfId="0" applyFont="true" applyBorder="false" applyAlignment="true" applyProtection="false">
      <alignment horizontal="right" vertical="center"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6" fontId="10" fillId="0" borderId="0" xfId="0" applyFont="true" applyBorder="false" applyAlignment="true" applyProtection="false">
      <alignment horizontal="right" vertical="center" textRotation="0" wrapText="false" indent="0" shrinkToFit="false"/>
      <protection locked="true" hidden="false"/>
    </xf>
    <xf numFmtId="166" fontId="9" fillId="0" borderId="0" xfId="0" applyFont="true" applyBorder="false" applyAlignment="true" applyProtection="false">
      <alignment horizontal="right" vertical="center" textRotation="0" wrapText="false" indent="0" shrinkToFit="false"/>
      <protection locked="true" hidden="false"/>
    </xf>
    <xf numFmtId="166" fontId="7" fillId="2" borderId="0" xfId="0" applyFont="true" applyBorder="false" applyAlignment="true" applyProtection="false">
      <alignment horizontal="right" vertical="center" textRotation="0" wrapText="false" indent="0" shrinkToFit="false"/>
      <protection locked="true" hidden="false"/>
    </xf>
    <xf numFmtId="164" fontId="5" fillId="4" borderId="0" xfId="0" applyFont="true" applyBorder="false" applyAlignment="true" applyProtection="false">
      <alignment horizontal="general" vertical="bottom" textRotation="0" wrapText="false" indent="0" shrinkToFit="false"/>
      <protection locked="true" hidden="false"/>
    </xf>
    <xf numFmtId="164" fontId="5" fillId="7" borderId="0" xfId="0" applyFont="true" applyBorder="false" applyAlignment="true" applyProtection="false">
      <alignment horizontal="general" vertical="bottom" textRotation="0" wrapText="false" indent="0" shrinkToFit="false"/>
      <protection locked="true" hidden="false"/>
    </xf>
    <xf numFmtId="166" fontId="5" fillId="7" borderId="0" xfId="0" applyFont="true" applyBorder="false" applyAlignment="true" applyProtection="false">
      <alignment horizontal="right" vertical="center"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8" fontId="5" fillId="3" borderId="0" xfId="0" applyFont="true" applyBorder="false" applyAlignment="true" applyProtection="false">
      <alignment horizontal="right" vertical="center" textRotation="0" wrapText="false" indent="0" shrinkToFit="false"/>
      <protection locked="true" hidden="false"/>
    </xf>
    <xf numFmtId="164" fontId="7" fillId="2" borderId="0" xfId="0" applyFont="true" applyBorder="false" applyAlignment="true" applyProtection="false">
      <alignment horizontal="right" vertical="center" textRotation="0" wrapText="false" indent="0" shrinkToFit="false"/>
      <protection locked="true" hidden="false"/>
    </xf>
    <xf numFmtId="172" fontId="6" fillId="0" borderId="0" xfId="0" applyFont="true" applyBorder="false" applyAlignment="true" applyProtection="false">
      <alignment horizontal="right" vertical="center" textRotation="0" wrapText="false" indent="0" shrinkToFit="false"/>
      <protection locked="true" hidden="false"/>
    </xf>
    <xf numFmtId="173" fontId="9" fillId="0" borderId="0" xfId="0" applyFont="true" applyBorder="false" applyAlignment="true" applyProtection="false">
      <alignment horizontal="right" vertical="center" textRotation="0" wrapText="false" indent="0" shrinkToFit="false"/>
      <protection locked="true" hidden="false"/>
    </xf>
    <xf numFmtId="172" fontId="7" fillId="2" borderId="0" xfId="0" applyFont="true" applyBorder="false" applyAlignment="true" applyProtection="false">
      <alignment horizontal="right" vertical="center" textRotation="0" wrapText="false" indent="0" shrinkToFit="false"/>
      <protection locked="true" hidden="false"/>
    </xf>
    <xf numFmtId="173" fontId="7" fillId="2" borderId="0" xfId="0" applyFont="true" applyBorder="false" applyAlignment="true" applyProtection="false">
      <alignment horizontal="right" vertical="center"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right" vertical="center" textRotation="0" wrapText="false" indent="0" shrinkToFit="false"/>
      <protection locked="true" hidden="false"/>
    </xf>
    <xf numFmtId="167" fontId="7" fillId="0" borderId="0" xfId="0" applyFont="true" applyBorder="false" applyAlignment="true" applyProtection="false">
      <alignment horizontal="right" vertical="center" textRotation="0" wrapText="false" indent="0" shrinkToFit="false"/>
      <protection locked="true" hidden="false"/>
    </xf>
    <xf numFmtId="164" fontId="5" fillId="0" borderId="0" xfId="0" applyFont="true" applyBorder="false" applyAlignment="true" applyProtection="false">
      <alignment horizontal="left" vertical="center" textRotation="0" wrapText="true" indent="0" shrinkToFit="false"/>
      <protection locked="true" hidden="false"/>
    </xf>
    <xf numFmtId="164" fontId="8" fillId="0" borderId="0" xfId="0" applyFont="true" applyBorder="false" applyAlignment="true" applyProtection="false">
      <alignment horizontal="right" vertical="center" textRotation="0" wrapText="false" indent="0" shrinkToFit="false"/>
      <protection locked="true" hidden="false"/>
    </xf>
    <xf numFmtId="164" fontId="9" fillId="3" borderId="0" xfId="0" applyFont="true" applyBorder="false" applyAlignment="true" applyProtection="false">
      <alignment horizontal="general" vertical="bottom" textRotation="0" wrapText="false" indent="0" shrinkToFit="false"/>
      <protection locked="true" hidden="false"/>
    </xf>
    <xf numFmtId="168" fontId="10" fillId="3" borderId="0" xfId="0" applyFont="true" applyBorder="false" applyAlignment="true" applyProtection="false">
      <alignment horizontal="right" vertical="center" textRotation="0" wrapText="false" indent="0" shrinkToFit="false"/>
      <protection locked="true" hidden="false"/>
    </xf>
    <xf numFmtId="168" fontId="9" fillId="0" borderId="0" xfId="0" applyFont="true" applyBorder="false" applyAlignment="true" applyProtection="false">
      <alignment horizontal="right" vertical="center" textRotation="0" wrapText="false" indent="0" shrinkToFit="false"/>
      <protection locked="true" hidden="false"/>
    </xf>
    <xf numFmtId="168" fontId="5" fillId="0" borderId="0" xfId="0" applyFont="true" applyBorder="false" applyAlignment="true" applyProtection="false">
      <alignment horizontal="right" vertical="center" textRotation="0" wrapText="false" indent="0" shrinkToFit="false"/>
      <protection locked="true" hidden="false"/>
    </xf>
    <xf numFmtId="171" fontId="10" fillId="3" borderId="0" xfId="0" applyFont="true" applyBorder="fals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F2F2F2"/>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555555"/>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52"/>
    <col collapsed="false" customWidth="true" hidden="false" outlineLevel="0" max="6" min="2" style="1" width="18"/>
  </cols>
  <sheetData>
    <row r="1" customFormat="false" ht="30" hidden="false" customHeight="true" outlineLevel="0" collapsed="false">
      <c r="A1" s="2" t="s">
        <v>0</v>
      </c>
      <c r="B1" s="2"/>
      <c r="C1" s="2"/>
      <c r="D1" s="2"/>
      <c r="E1" s="2"/>
      <c r="F1" s="2"/>
      <c r="G1" s="2"/>
      <c r="H1" s="2"/>
      <c r="I1" s="2"/>
      <c r="J1" s="2"/>
      <c r="K1" s="2"/>
      <c r="L1" s="2"/>
      <c r="M1" s="2"/>
      <c r="N1" s="2"/>
    </row>
    <row r="3" customFormat="false" ht="15" hidden="false" customHeight="true" outlineLevel="0" collapsed="false">
      <c r="A3" s="3" t="s">
        <v>1</v>
      </c>
      <c r="B3" s="4" t="s">
        <v>2</v>
      </c>
    </row>
    <row r="4" customFormat="false" ht="15" hidden="false" customHeight="true" outlineLevel="0" collapsed="false">
      <c r="A4" s="3" t="s">
        <v>3</v>
      </c>
      <c r="B4" s="4" t="s">
        <v>4</v>
      </c>
    </row>
    <row r="5" customFormat="false" ht="15" hidden="false" customHeight="true" outlineLevel="0" collapsed="false">
      <c r="A5" s="3" t="s">
        <v>5</v>
      </c>
      <c r="B5" s="4" t="s">
        <v>6</v>
      </c>
    </row>
    <row r="6" customFormat="false" ht="15" hidden="false" customHeight="true" outlineLevel="0" collapsed="false">
      <c r="A6" s="3" t="s">
        <v>7</v>
      </c>
      <c r="B6" s="4" t="s">
        <v>8</v>
      </c>
    </row>
    <row r="7" customFormat="false" ht="15" hidden="false" customHeight="true" outlineLevel="0" collapsed="false">
      <c r="A7" s="3" t="s">
        <v>9</v>
      </c>
      <c r="B7" s="4" t="s">
        <v>10</v>
      </c>
    </row>
    <row r="8" customFormat="false" ht="15" hidden="false" customHeight="true" outlineLevel="0" collapsed="false">
      <c r="A8" s="3" t="s">
        <v>11</v>
      </c>
      <c r="B8" s="4" t="s">
        <v>12</v>
      </c>
    </row>
    <row r="10" customFormat="false" ht="21.75" hidden="false" customHeight="true" outlineLevel="0" collapsed="false">
      <c r="A10" s="5" t="s">
        <v>13</v>
      </c>
      <c r="B10" s="5"/>
      <c r="C10" s="5"/>
      <c r="D10" s="5"/>
      <c r="E10" s="5"/>
      <c r="F10" s="5"/>
    </row>
    <row r="11" customFormat="false" ht="15" hidden="false" customHeight="true" outlineLevel="0" collapsed="false">
      <c r="A11" s="3" t="s">
        <v>14</v>
      </c>
      <c r="B11" s="6" t="n">
        <v>700000</v>
      </c>
      <c r="D11" s="7" t="s">
        <v>15</v>
      </c>
    </row>
    <row r="12" customFormat="false" ht="21.75" hidden="false" customHeight="true" outlineLevel="0" collapsed="false">
      <c r="A12" s="3" t="s">
        <v>16</v>
      </c>
      <c r="B12" s="8" t="n">
        <v>18</v>
      </c>
      <c r="D12" s="7" t="s">
        <v>17</v>
      </c>
    </row>
    <row r="13" customFormat="false" ht="15" hidden="false" customHeight="true" outlineLevel="0" collapsed="false">
      <c r="A13" s="3" t="s">
        <v>18</v>
      </c>
      <c r="B13" s="8" t="n">
        <v>60</v>
      </c>
      <c r="D13" s="7" t="s">
        <v>19</v>
      </c>
    </row>
    <row r="14" customFormat="false" ht="15" hidden="false" customHeight="true" outlineLevel="0" collapsed="false">
      <c r="A14" s="3" t="s">
        <v>20</v>
      </c>
      <c r="B14" s="9" t="s">
        <v>21</v>
      </c>
      <c r="D14" s="7" t="s">
        <v>22</v>
      </c>
    </row>
    <row r="15" customFormat="false" ht="15" hidden="false" customHeight="true" outlineLevel="0" collapsed="false">
      <c r="A15" s="3" t="s">
        <v>23</v>
      </c>
      <c r="B15" s="9" t="s">
        <v>24</v>
      </c>
      <c r="D15" s="7" t="s">
        <v>25</v>
      </c>
    </row>
    <row r="16" customFormat="false" ht="15" hidden="false" customHeight="true" outlineLevel="0" collapsed="false">
      <c r="A16" s="3" t="s">
        <v>26</v>
      </c>
      <c r="B16" s="9" t="s">
        <v>27</v>
      </c>
      <c r="D16" s="7" t="s">
        <v>28</v>
      </c>
    </row>
    <row r="17" customFormat="false" ht="15" hidden="false" customHeight="true" outlineLevel="0" collapsed="false">
      <c r="A17" s="3" t="s">
        <v>29</v>
      </c>
      <c r="B17" s="9" t="s">
        <v>30</v>
      </c>
      <c r="D17" s="7" t="s">
        <v>31</v>
      </c>
    </row>
    <row r="18" customFormat="false" ht="21.75" hidden="false" customHeight="true" outlineLevel="0" collapsed="false">
      <c r="A18" s="3" t="s">
        <v>32</v>
      </c>
      <c r="B18" s="9" t="s">
        <v>33</v>
      </c>
      <c r="D18" s="7" t="s">
        <v>34</v>
      </c>
    </row>
    <row r="19" customFormat="false" ht="15" hidden="false" customHeight="true" outlineLevel="0" collapsed="false">
      <c r="A19" s="3" t="s">
        <v>35</v>
      </c>
      <c r="B19" s="10" t="n">
        <v>0.037</v>
      </c>
      <c r="D19" s="7" t="s">
        <v>36</v>
      </c>
    </row>
    <row r="20" customFormat="false" ht="15" hidden="false" customHeight="true" outlineLevel="0" collapsed="false">
      <c r="A20" s="3" t="s">
        <v>37</v>
      </c>
      <c r="B20" s="10" t="n">
        <v>0.037</v>
      </c>
      <c r="D20" s="7" t="s">
        <v>38</v>
      </c>
    </row>
    <row r="21" customFormat="false" ht="15" hidden="false" customHeight="true" outlineLevel="0" collapsed="false">
      <c r="A21" s="3" t="s">
        <v>39</v>
      </c>
      <c r="B21" s="10" t="n">
        <v>0.074</v>
      </c>
      <c r="D21" s="7" t="s">
        <v>36</v>
      </c>
    </row>
    <row r="22" customFormat="false" ht="21.75" hidden="false" customHeight="true" outlineLevel="0" collapsed="false">
      <c r="A22" s="5" t="s">
        <v>40</v>
      </c>
      <c r="B22" s="5"/>
      <c r="C22" s="5"/>
      <c r="D22" s="5"/>
      <c r="E22" s="5"/>
      <c r="F22" s="5"/>
    </row>
    <row r="23" customFormat="false" ht="15" hidden="false" customHeight="true" outlineLevel="0" collapsed="false">
      <c r="A23" s="3" t="s">
        <v>41</v>
      </c>
      <c r="B23" s="10" t="n">
        <v>0.8</v>
      </c>
      <c r="D23" s="11" t="s">
        <v>42</v>
      </c>
    </row>
    <row r="24" customFormat="false" ht="15" hidden="false" customHeight="true" outlineLevel="0" collapsed="false">
      <c r="A24" s="3" t="s">
        <v>43</v>
      </c>
      <c r="B24" s="12" t="n">
        <v>1.1</v>
      </c>
      <c r="D24" s="11" t="s">
        <v>44</v>
      </c>
    </row>
    <row r="25" customFormat="false" ht="21.75" hidden="false" customHeight="true" outlineLevel="0" collapsed="false">
      <c r="A25" s="5" t="s">
        <v>45</v>
      </c>
      <c r="B25" s="5"/>
      <c r="C25" s="5"/>
      <c r="D25" s="5"/>
      <c r="E25" s="5"/>
      <c r="F25" s="5"/>
    </row>
    <row r="26" customFormat="false" ht="15" hidden="false" customHeight="true" outlineLevel="0" collapsed="false">
      <c r="A26" s="13" t="s">
        <v>46</v>
      </c>
      <c r="B26" s="13" t="s">
        <v>47</v>
      </c>
      <c r="C26" s="13" t="s">
        <v>48</v>
      </c>
      <c r="D26" s="13" t="s">
        <v>49</v>
      </c>
      <c r="E26" s="13" t="s">
        <v>50</v>
      </c>
    </row>
    <row r="27" customFormat="false" ht="15" hidden="false" customHeight="true" outlineLevel="0" collapsed="false">
      <c r="A27" s="14" t="s">
        <v>51</v>
      </c>
      <c r="B27" s="6" t="n">
        <v>120000</v>
      </c>
      <c r="C27" s="15" t="n">
        <v>1</v>
      </c>
      <c r="D27" s="16" t="n">
        <v>18</v>
      </c>
      <c r="E27" s="17" t="n">
        <f aca="false">B27*C27*D27/12</f>
        <v>180000</v>
      </c>
    </row>
    <row r="28" customFormat="false" ht="15" hidden="false" customHeight="true" outlineLevel="0" collapsed="false">
      <c r="A28" s="14" t="s">
        <v>52</v>
      </c>
      <c r="B28" s="6" t="n">
        <v>110000</v>
      </c>
      <c r="C28" s="15" t="n">
        <v>1</v>
      </c>
      <c r="D28" s="16" t="n">
        <v>16</v>
      </c>
      <c r="E28" s="17" t="n">
        <f aca="false">B28*C28*D28/12</f>
        <v>146666.666666667</v>
      </c>
    </row>
    <row r="29" customFormat="false" ht="15" hidden="false" customHeight="true" outlineLevel="0" collapsed="false">
      <c r="A29" s="14" t="s">
        <v>53</v>
      </c>
      <c r="B29" s="6" t="n">
        <v>208000</v>
      </c>
      <c r="C29" s="15" t="n">
        <v>0.2</v>
      </c>
      <c r="D29" s="16" t="n">
        <v>18</v>
      </c>
      <c r="E29" s="17" t="n">
        <f aca="false">B29*C29*D29/12</f>
        <v>62400</v>
      </c>
    </row>
    <row r="30" customFormat="false" ht="15" hidden="false" customHeight="true" outlineLevel="0" collapsed="false">
      <c r="A30" s="14" t="s">
        <v>54</v>
      </c>
      <c r="B30" s="6" t="n">
        <v>132000</v>
      </c>
      <c r="C30" s="15" t="n">
        <v>0.5</v>
      </c>
      <c r="D30" s="16" t="n">
        <v>18</v>
      </c>
      <c r="E30" s="17" t="n">
        <f aca="false">B30*C30*D30/12</f>
        <v>99000</v>
      </c>
    </row>
    <row r="31" customFormat="false" ht="15" hidden="false" customHeight="true" outlineLevel="0" collapsed="false">
      <c r="A31" s="14" t="s">
        <v>55</v>
      </c>
      <c r="B31" s="6" t="n">
        <v>110000</v>
      </c>
      <c r="C31" s="15" t="n">
        <v>0.5</v>
      </c>
      <c r="D31" s="16" t="n">
        <v>18</v>
      </c>
      <c r="E31" s="17" t="n">
        <f aca="false">B31*C31*D31/12</f>
        <v>82500</v>
      </c>
    </row>
    <row r="32" customFormat="false" ht="15" hidden="false" customHeight="true" outlineLevel="0" collapsed="false">
      <c r="A32" s="14" t="s">
        <v>56</v>
      </c>
      <c r="B32" s="6" t="n">
        <v>35000</v>
      </c>
      <c r="C32" s="15" t="n">
        <v>1</v>
      </c>
      <c r="D32" s="16" t="n">
        <v>18</v>
      </c>
      <c r="E32" s="17" t="n">
        <f aca="false">B32*C32*D32/12</f>
        <v>52500</v>
      </c>
      <c r="F32" s="7"/>
    </row>
    <row r="33" customFormat="false" ht="15" hidden="false" customHeight="true" outlineLevel="0" collapsed="false">
      <c r="A33" s="14" t="s">
        <v>57</v>
      </c>
      <c r="B33" s="6" t="n">
        <v>33000</v>
      </c>
      <c r="C33" s="15" t="n">
        <v>1</v>
      </c>
      <c r="D33" s="16" t="n">
        <v>18</v>
      </c>
      <c r="E33" s="17" t="n">
        <f aca="false">B33*C33*D33/12</f>
        <v>49500</v>
      </c>
      <c r="F33" s="7"/>
    </row>
    <row r="34" customFormat="false" ht="15" hidden="false" customHeight="true" outlineLevel="0" collapsed="false">
      <c r="A34" s="3" t="s">
        <v>58</v>
      </c>
      <c r="E34" s="18" t="n">
        <f aca="false">SUM(E27:E33)</f>
        <v>672566.666666667</v>
      </c>
    </row>
    <row r="35" customFormat="false" ht="15" hidden="false" customHeight="true" outlineLevel="0" collapsed="false"/>
    <row r="36" customFormat="false" ht="15" hidden="false" customHeight="true" outlineLevel="0" collapsed="false">
      <c r="A36" s="19" t="s">
        <v>59</v>
      </c>
    </row>
    <row r="37" customFormat="false" ht="15" hidden="false" customHeight="true" outlineLevel="0" collapsed="false">
      <c r="A37" s="13" t="s">
        <v>60</v>
      </c>
    </row>
    <row r="38" customFormat="false" ht="15" hidden="false" customHeight="true" outlineLevel="0" collapsed="false">
      <c r="A38" s="14" t="s">
        <v>61</v>
      </c>
      <c r="E38" s="6" t="n">
        <v>50000</v>
      </c>
    </row>
    <row r="39" customFormat="false" ht="21.75" hidden="false" customHeight="true" outlineLevel="0" collapsed="false">
      <c r="A39" s="14" t="s">
        <v>62</v>
      </c>
      <c r="E39" s="6" t="n">
        <v>35000</v>
      </c>
    </row>
    <row r="40" customFormat="false" ht="15" hidden="false" customHeight="true" outlineLevel="0" collapsed="false">
      <c r="A40" s="14" t="s">
        <v>63</v>
      </c>
      <c r="E40" s="6" t="n">
        <v>25000</v>
      </c>
    </row>
    <row r="41" customFormat="false" ht="15" hidden="false" customHeight="true" outlineLevel="0" collapsed="false">
      <c r="A41" s="14" t="s">
        <v>64</v>
      </c>
      <c r="E41" s="6" t="n">
        <v>15000</v>
      </c>
    </row>
    <row r="42" customFormat="false" ht="15" hidden="false" customHeight="true" outlineLevel="0" collapsed="false">
      <c r="A42" s="14" t="s">
        <v>65</v>
      </c>
      <c r="E42" s="6" t="n">
        <v>10000</v>
      </c>
    </row>
    <row r="43" customFormat="false" ht="15" hidden="false" customHeight="true" outlineLevel="0" collapsed="false">
      <c r="A43" s="14" t="s">
        <v>66</v>
      </c>
      <c r="E43" s="6" t="n">
        <v>8000</v>
      </c>
    </row>
    <row r="44" customFormat="false" ht="15" hidden="false" customHeight="true" outlineLevel="0" collapsed="false">
      <c r="A44" s="14" t="s">
        <v>67</v>
      </c>
      <c r="E44" s="6" t="n">
        <v>65000</v>
      </c>
    </row>
    <row r="45" customFormat="false" ht="15" hidden="false" customHeight="true" outlineLevel="0" collapsed="false">
      <c r="A45" s="3" t="s">
        <v>68</v>
      </c>
      <c r="E45" s="18" t="n">
        <f aca="false">SUM(E38:E44)</f>
        <v>208000</v>
      </c>
    </row>
    <row r="46" customFormat="false" ht="15" hidden="false" customHeight="true" outlineLevel="0" collapsed="false">
      <c r="A46" s="7"/>
    </row>
    <row r="47" customFormat="false" ht="15" hidden="false" customHeight="true" outlineLevel="0" collapsed="false">
      <c r="A47" s="13" t="s">
        <v>69</v>
      </c>
      <c r="E47" s="20" t="n">
        <f aca="false">E34+E45</f>
        <v>880566.666666667</v>
      </c>
    </row>
    <row r="48" customFormat="false" ht="15" hidden="false" customHeight="true" outlineLevel="0" collapsed="false">
      <c r="A48" s="14" t="s">
        <v>70</v>
      </c>
      <c r="E48" s="6" t="n">
        <v>190000</v>
      </c>
    </row>
    <row r="49" customFormat="false" ht="37.5" hidden="false" customHeight="true" outlineLevel="0" collapsed="false">
      <c r="A49" s="13" t="s">
        <v>71</v>
      </c>
      <c r="E49" s="20" t="n">
        <f aca="false">E47+E48</f>
        <v>1070566.66666667</v>
      </c>
    </row>
    <row r="50" customFormat="false" ht="15" hidden="false" customHeight="true" outlineLevel="0" collapsed="false"/>
    <row r="51" customFormat="false" ht="15" hidden="false" customHeight="true" outlineLevel="0" collapsed="false">
      <c r="A51" s="3" t="s">
        <v>72</v>
      </c>
      <c r="B51" s="21" t="n">
        <f aca="false">B11/E47</f>
        <v>0.794942650565924</v>
      </c>
      <c r="D51" s="11" t="s">
        <v>73</v>
      </c>
    </row>
    <row r="52" customFormat="false" ht="15" hidden="false" customHeight="true" outlineLevel="0" collapsed="false">
      <c r="A52" s="7"/>
    </row>
    <row r="53" customFormat="false" ht="15" hidden="false" customHeight="true" outlineLevel="0" collapsed="false">
      <c r="A53" s="3" t="s">
        <v>74</v>
      </c>
      <c r="B53" s="1" t="str">
        <f aca="false">IF(B51&lt;=0.8,"COMPLIANT","REVIEW")</f>
        <v>COMPLIANT</v>
      </c>
    </row>
    <row r="54" customFormat="false" ht="15" hidden="false" customHeight="true" outlineLevel="0" collapsed="false"/>
    <row r="55" customFormat="false" ht="99.75" hidden="false" customHeight="true" outlineLevel="0" collapsed="false">
      <c r="A55" s="22" t="s">
        <v>75</v>
      </c>
      <c r="B55" s="22"/>
      <c r="C55" s="22"/>
      <c r="D55" s="22"/>
      <c r="E55" s="22"/>
      <c r="F55" s="22"/>
    </row>
    <row r="56" customFormat="false" ht="37.5" hidden="false" customHeight="true" outlineLevel="0" collapsed="false"/>
    <row r="57" customFormat="false" ht="79.5" hidden="false" customHeight="true" outlineLevel="0" collapsed="false">
      <c r="A57" s="22" t="s">
        <v>76</v>
      </c>
      <c r="B57" s="22"/>
      <c r="C57" s="22"/>
      <c r="D57" s="22"/>
      <c r="E57" s="22"/>
      <c r="F57" s="22"/>
    </row>
    <row r="58" customFormat="false" ht="15" hidden="false" customHeight="true" outlineLevel="0" collapsed="false"/>
  </sheetData>
  <mergeCells count="6">
    <mergeCell ref="A1:N1"/>
    <mergeCell ref="A10:F10"/>
    <mergeCell ref="A22:F22"/>
    <mergeCell ref="A25:F25"/>
    <mergeCell ref="A55:F55"/>
    <mergeCell ref="A57:F5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0"/>
    <col collapsed="false" customWidth="true" hidden="false" outlineLevel="0" max="2" min="2" style="1" width="15"/>
    <col collapsed="false" customWidth="true" hidden="false" outlineLevel="0" max="3" min="3" style="1" width="14"/>
    <col collapsed="false" customWidth="true" hidden="false" outlineLevel="0" max="4" min="4" style="1" width="16"/>
    <col collapsed="false" customWidth="true" hidden="false" outlineLevel="0" max="5" min="5" style="1" width="18"/>
    <col collapsed="false" customWidth="true" hidden="false" outlineLevel="0" max="6" min="6" style="1" width="60"/>
  </cols>
  <sheetData>
    <row r="1" customFormat="false" ht="30" hidden="false" customHeight="true" outlineLevel="0" collapsed="false">
      <c r="A1" s="2" t="s">
        <v>77</v>
      </c>
      <c r="B1" s="2"/>
      <c r="C1" s="2"/>
      <c r="D1" s="2"/>
      <c r="E1" s="2"/>
      <c r="F1" s="2"/>
      <c r="G1" s="2"/>
      <c r="H1" s="2"/>
    </row>
    <row r="3" customFormat="false" ht="15" hidden="false" customHeight="true" outlineLevel="0" collapsed="false">
      <c r="A3" s="23" t="s">
        <v>78</v>
      </c>
      <c r="B3" s="23" t="s">
        <v>79</v>
      </c>
      <c r="C3" s="23" t="s">
        <v>80</v>
      </c>
      <c r="D3" s="23" t="s">
        <v>81</v>
      </c>
      <c r="E3" s="23" t="s">
        <v>82</v>
      </c>
      <c r="F3" s="23" t="s">
        <v>83</v>
      </c>
    </row>
    <row r="4" customFormat="false" ht="15" hidden="false" customHeight="true" outlineLevel="0" collapsed="false">
      <c r="A4" s="24" t="n">
        <v>1</v>
      </c>
      <c r="B4" s="24" t="s">
        <v>84</v>
      </c>
      <c r="C4" s="25" t="s">
        <v>21</v>
      </c>
      <c r="D4" s="6" t="n">
        <v>140000</v>
      </c>
      <c r="E4" s="17" t="n">
        <f aca="false">D4</f>
        <v>140000</v>
      </c>
      <c r="F4" s="14" t="s">
        <v>85</v>
      </c>
    </row>
    <row r="5" customFormat="false" ht="15" hidden="false" customHeight="true" outlineLevel="0" collapsed="false">
      <c r="A5" s="24" t="n">
        <v>2</v>
      </c>
      <c r="B5" s="24" t="s">
        <v>86</v>
      </c>
      <c r="C5" s="25" t="s">
        <v>87</v>
      </c>
      <c r="D5" s="6" t="n">
        <v>140000</v>
      </c>
      <c r="E5" s="17" t="n">
        <f aca="false">E4+D5</f>
        <v>280000</v>
      </c>
      <c r="F5" s="14" t="s">
        <v>88</v>
      </c>
    </row>
    <row r="6" customFormat="false" ht="15" hidden="false" customHeight="true" outlineLevel="0" collapsed="false">
      <c r="A6" s="24" t="n">
        <v>3</v>
      </c>
      <c r="B6" s="24" t="s">
        <v>89</v>
      </c>
      <c r="C6" s="25" t="s">
        <v>90</v>
      </c>
      <c r="D6" s="6" t="n">
        <v>120000</v>
      </c>
      <c r="E6" s="17" t="n">
        <f aca="false">E5+D6</f>
        <v>400000</v>
      </c>
      <c r="F6" s="14" t="s">
        <v>91</v>
      </c>
    </row>
    <row r="7" customFormat="false" ht="15" hidden="false" customHeight="true" outlineLevel="0" collapsed="false">
      <c r="A7" s="24" t="n">
        <v>4</v>
      </c>
      <c r="B7" s="24" t="s">
        <v>92</v>
      </c>
      <c r="C7" s="25" t="s">
        <v>93</v>
      </c>
      <c r="D7" s="6" t="n">
        <v>120000</v>
      </c>
      <c r="E7" s="17" t="n">
        <f aca="false">E6+D7</f>
        <v>520000</v>
      </c>
      <c r="F7" s="14" t="s">
        <v>94</v>
      </c>
    </row>
    <row r="8" customFormat="false" ht="15" hidden="false" customHeight="true" outlineLevel="0" collapsed="false">
      <c r="A8" s="24" t="n">
        <v>5</v>
      </c>
      <c r="B8" s="24" t="s">
        <v>95</v>
      </c>
      <c r="C8" s="25" t="s">
        <v>96</v>
      </c>
      <c r="D8" s="6" t="n">
        <v>100000</v>
      </c>
      <c r="E8" s="17" t="n">
        <f aca="false">E7+D8</f>
        <v>620000</v>
      </c>
      <c r="F8" s="14" t="s">
        <v>97</v>
      </c>
    </row>
    <row r="9" customFormat="false" ht="15" hidden="false" customHeight="true" outlineLevel="0" collapsed="false">
      <c r="A9" s="24" t="n">
        <v>6</v>
      </c>
      <c r="B9" s="24" t="s">
        <v>98</v>
      </c>
      <c r="C9" s="25" t="s">
        <v>99</v>
      </c>
      <c r="D9" s="6" t="n">
        <v>80000</v>
      </c>
      <c r="E9" s="17" t="n">
        <f aca="false">E8+D9</f>
        <v>700000</v>
      </c>
      <c r="F9" s="14" t="s">
        <v>100</v>
      </c>
    </row>
    <row r="10" customFormat="false" ht="15" hidden="false" customHeight="true" outlineLevel="0" collapsed="false">
      <c r="A10" s="13" t="s">
        <v>101</v>
      </c>
      <c r="D10" s="20" t="n">
        <f aca="false">SUM(D4:D9)</f>
        <v>700000</v>
      </c>
      <c r="E10" s="20" t="n">
        <f aca="false">E9</f>
        <v>700000</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20"/>
    <col collapsed="false" customWidth="true" hidden="false" outlineLevel="0" max="9" min="3" style="1" width="16"/>
  </cols>
  <sheetData>
    <row r="1" customFormat="false" ht="30" hidden="false" customHeight="true" outlineLevel="0" collapsed="false">
      <c r="A1" s="2" t="s">
        <v>102</v>
      </c>
      <c r="B1" s="2"/>
      <c r="C1" s="2"/>
      <c r="D1" s="2"/>
      <c r="E1" s="2"/>
      <c r="F1" s="2"/>
      <c r="G1" s="2"/>
      <c r="H1" s="2"/>
      <c r="I1" s="2"/>
    </row>
    <row r="3" customFormat="false" ht="15" hidden="false" customHeight="true" outlineLevel="0" collapsed="false">
      <c r="A3" s="13" t="s">
        <v>103</v>
      </c>
      <c r="B3" s="13" t="s">
        <v>104</v>
      </c>
      <c r="C3" s="13" t="s">
        <v>105</v>
      </c>
      <c r="D3" s="13" t="s">
        <v>106</v>
      </c>
      <c r="E3" s="13" t="s">
        <v>107</v>
      </c>
      <c r="F3" s="13" t="s">
        <v>108</v>
      </c>
      <c r="G3" s="13" t="s">
        <v>109</v>
      </c>
      <c r="H3" s="13" t="s">
        <v>110</v>
      </c>
      <c r="I3" s="13" t="s">
        <v>111</v>
      </c>
    </row>
    <row r="4" customFormat="false" ht="15" hidden="false" customHeight="true" outlineLevel="0" collapsed="false">
      <c r="A4" s="14" t="s">
        <v>112</v>
      </c>
      <c r="B4" s="14" t="s">
        <v>113</v>
      </c>
      <c r="C4" s="6" t="n">
        <v>0</v>
      </c>
      <c r="D4" s="6" t="n">
        <v>520000</v>
      </c>
      <c r="E4" s="26" t="n">
        <f aca="false">'1_Cover_Assumptions'!$B$19</f>
        <v>0.037</v>
      </c>
      <c r="F4" s="17" t="n">
        <f aca="false">(C4+D4/2)*E4</f>
        <v>9620</v>
      </c>
      <c r="G4" s="6" t="n">
        <v>0</v>
      </c>
      <c r="H4" s="6" t="n">
        <v>0</v>
      </c>
      <c r="I4" s="17" t="n">
        <f aca="false">C4+D4+F4-G4-H4</f>
        <v>529620</v>
      </c>
    </row>
    <row r="5" customFormat="false" ht="15" hidden="false" customHeight="true" outlineLevel="0" collapsed="false">
      <c r="A5" s="14" t="s">
        <v>114</v>
      </c>
      <c r="B5" s="14" t="s">
        <v>115</v>
      </c>
      <c r="C5" s="17" t="n">
        <f aca="false">I4</f>
        <v>529620</v>
      </c>
      <c r="D5" s="6" t="n">
        <v>180000</v>
      </c>
      <c r="E5" s="27" t="n">
        <f aca="false">'1_Cover_Assumptions'!$B$19*0.5</f>
        <v>0.0185</v>
      </c>
      <c r="F5" s="17" t="n">
        <f aca="false">(C5+D5/2)*E5</f>
        <v>11462.97</v>
      </c>
      <c r="G5" s="6" t="n">
        <v>0</v>
      </c>
      <c r="H5" s="6" t="n">
        <v>0</v>
      </c>
      <c r="I5" s="17" t="n">
        <f aca="false">C5+D5+F5-G5-H5</f>
        <v>721082.97</v>
      </c>
    </row>
    <row r="6" customFormat="false" ht="15" hidden="false" customHeight="true" outlineLevel="0" collapsed="false">
      <c r="A6" s="14" t="s">
        <v>116</v>
      </c>
      <c r="B6" s="14" t="s">
        <v>117</v>
      </c>
      <c r="C6" s="17" t="n">
        <f aca="false">I5</f>
        <v>721082.97</v>
      </c>
      <c r="D6" s="6" t="n">
        <v>0</v>
      </c>
      <c r="E6" s="26" t="n">
        <f aca="false">'1_Cover_Assumptions'!$B$21</f>
        <v>0.074</v>
      </c>
      <c r="F6" s="17" t="n">
        <f aca="false">C6*E6</f>
        <v>53360.13978</v>
      </c>
      <c r="G6" s="17" t="n">
        <f aca="false">$I$5/5</f>
        <v>144216.594</v>
      </c>
      <c r="H6" s="17" t="n">
        <f aca="false">F6</f>
        <v>53360.13978</v>
      </c>
      <c r="I6" s="17" t="n">
        <f aca="false">C6+D6+F6-G6-H6</f>
        <v>576866.376</v>
      </c>
    </row>
    <row r="7" customFormat="false" ht="15" hidden="false" customHeight="true" outlineLevel="0" collapsed="false">
      <c r="A7" s="14" t="s">
        <v>118</v>
      </c>
      <c r="B7" s="14" t="s">
        <v>119</v>
      </c>
      <c r="C7" s="17" t="n">
        <f aca="false">I6</f>
        <v>576866.376</v>
      </c>
      <c r="D7" s="6" t="n">
        <v>0</v>
      </c>
      <c r="E7" s="26" t="n">
        <f aca="false">'1_Cover_Assumptions'!$B$21</f>
        <v>0.074</v>
      </c>
      <c r="F7" s="17" t="n">
        <f aca="false">C7*E7</f>
        <v>42688.111824</v>
      </c>
      <c r="G7" s="17" t="n">
        <f aca="false">$I$5/5</f>
        <v>144216.594</v>
      </c>
      <c r="H7" s="17" t="n">
        <f aca="false">F7</f>
        <v>42688.111824</v>
      </c>
      <c r="I7" s="17" t="n">
        <f aca="false">C7+D7+F7-G7-H7</f>
        <v>432649.782</v>
      </c>
    </row>
    <row r="8" customFormat="false" ht="15" hidden="false" customHeight="true" outlineLevel="0" collapsed="false">
      <c r="A8" s="14" t="s">
        <v>120</v>
      </c>
      <c r="B8" s="14" t="s">
        <v>121</v>
      </c>
      <c r="C8" s="17" t="n">
        <f aca="false">I7</f>
        <v>432649.782</v>
      </c>
      <c r="D8" s="6" t="n">
        <v>0</v>
      </c>
      <c r="E8" s="26" t="n">
        <f aca="false">'1_Cover_Assumptions'!$B$21</f>
        <v>0.074</v>
      </c>
      <c r="F8" s="17" t="n">
        <f aca="false">C8*E8</f>
        <v>32016.083868</v>
      </c>
      <c r="G8" s="17" t="n">
        <f aca="false">$I$5/5</f>
        <v>144216.594</v>
      </c>
      <c r="H8" s="17" t="n">
        <f aca="false">F8</f>
        <v>32016.083868</v>
      </c>
      <c r="I8" s="17" t="n">
        <f aca="false">C8+D8+F8-G8-H8</f>
        <v>288433.188</v>
      </c>
    </row>
    <row r="9" customFormat="false" ht="15" hidden="false" customHeight="true" outlineLevel="0" collapsed="false">
      <c r="A9" s="14" t="s">
        <v>122</v>
      </c>
      <c r="B9" s="14" t="s">
        <v>123</v>
      </c>
      <c r="C9" s="17" t="n">
        <f aca="false">I8</f>
        <v>288433.188</v>
      </c>
      <c r="D9" s="6" t="n">
        <v>0</v>
      </c>
      <c r="E9" s="26" t="n">
        <f aca="false">'1_Cover_Assumptions'!$B$21</f>
        <v>0.074</v>
      </c>
      <c r="F9" s="17" t="n">
        <f aca="false">C9*E9</f>
        <v>21344.055912</v>
      </c>
      <c r="G9" s="17" t="n">
        <f aca="false">$I$5/5</f>
        <v>144216.594</v>
      </c>
      <c r="H9" s="17" t="n">
        <f aca="false">F9</f>
        <v>21344.055912</v>
      </c>
      <c r="I9" s="17" t="n">
        <f aca="false">C9+D9+F9-G9-H9</f>
        <v>144216.594</v>
      </c>
    </row>
    <row r="10" customFormat="false" ht="15" hidden="false" customHeight="true" outlineLevel="0" collapsed="false">
      <c r="A10" s="14" t="s">
        <v>124</v>
      </c>
      <c r="B10" s="14" t="s">
        <v>125</v>
      </c>
      <c r="C10" s="17" t="n">
        <f aca="false">I9</f>
        <v>144216.594</v>
      </c>
      <c r="D10" s="6" t="n">
        <v>0</v>
      </c>
      <c r="E10" s="26" t="n">
        <f aca="false">'1_Cover_Assumptions'!$B$21</f>
        <v>0.074</v>
      </c>
      <c r="F10" s="17" t="n">
        <f aca="false">C10*E10</f>
        <v>10672.027956</v>
      </c>
      <c r="G10" s="17" t="n">
        <f aca="false">$I$5/5</f>
        <v>144216.594</v>
      </c>
      <c r="H10" s="17" t="n">
        <f aca="false">F10</f>
        <v>10672.027956</v>
      </c>
      <c r="I10" s="17" t="n">
        <f aca="false">C10+D10+F10-G10-H10</f>
        <v>1.14596332423389E-010</v>
      </c>
    </row>
    <row r="11" customFormat="false" ht="15" hidden="false" customHeight="true" outlineLevel="0" collapsed="false">
      <c r="A11" s="13" t="s">
        <v>126</v>
      </c>
      <c r="D11" s="28" t="n">
        <f aca="false">SUM(D4:D10)</f>
        <v>700000</v>
      </c>
      <c r="F11" s="28" t="n">
        <f aca="false">SUM(F4:F10)</f>
        <v>181163.38934</v>
      </c>
      <c r="G11" s="28" t="n">
        <f aca="false">SUM(G4:G10)</f>
        <v>721082.97</v>
      </c>
      <c r="H11" s="28" t="n">
        <f aca="false">SUM(H4:H10)</f>
        <v>160080.41934</v>
      </c>
    </row>
    <row r="13" customFormat="false" ht="15" hidden="false" customHeight="true" outlineLevel="0" collapsed="false">
      <c r="A13" s="3" t="s">
        <v>127</v>
      </c>
    </row>
    <row r="14" customFormat="false" ht="15" hidden="false" customHeight="true" outlineLevel="0" collapsed="false">
      <c r="A14" s="22" t="s">
        <v>128</v>
      </c>
      <c r="B14" s="22"/>
      <c r="C14" s="22"/>
      <c r="D14" s="22"/>
      <c r="E14" s="22"/>
      <c r="F14" s="22"/>
      <c r="G14" s="22"/>
      <c r="H14" s="22"/>
      <c r="I14" s="22"/>
    </row>
    <row r="15" customFormat="false" ht="15" hidden="false" customHeight="true" outlineLevel="0" collapsed="false">
      <c r="A15" s="22" t="s">
        <v>129</v>
      </c>
      <c r="B15" s="22"/>
      <c r="C15" s="22"/>
      <c r="D15" s="22"/>
      <c r="E15" s="22"/>
      <c r="F15" s="22"/>
      <c r="G15" s="22"/>
      <c r="H15" s="22"/>
      <c r="I15" s="22"/>
    </row>
    <row r="16" customFormat="false" ht="15" hidden="false" customHeight="true" outlineLevel="0" collapsed="false">
      <c r="A16" s="22" t="s">
        <v>130</v>
      </c>
      <c r="B16" s="22"/>
      <c r="C16" s="22"/>
      <c r="D16" s="22"/>
      <c r="E16" s="22"/>
      <c r="F16" s="22"/>
      <c r="G16" s="22"/>
      <c r="H16" s="22"/>
      <c r="I16" s="22"/>
    </row>
    <row r="17" customFormat="false" ht="15" hidden="false" customHeight="true" outlineLevel="0" collapsed="false">
      <c r="A17" s="22" t="s">
        <v>131</v>
      </c>
      <c r="B17" s="22"/>
      <c r="C17" s="22"/>
      <c r="D17" s="22"/>
      <c r="E17" s="22"/>
      <c r="F17" s="22"/>
      <c r="G17" s="22"/>
      <c r="H17" s="22"/>
      <c r="I17" s="22"/>
    </row>
    <row r="18" customFormat="false" ht="15" hidden="false" customHeight="true" outlineLevel="0" collapsed="false">
      <c r="A18" s="22" t="s">
        <v>132</v>
      </c>
      <c r="B18" s="22"/>
      <c r="C18" s="22"/>
      <c r="D18" s="22"/>
      <c r="E18" s="22"/>
      <c r="F18" s="22"/>
      <c r="G18" s="22"/>
      <c r="H18" s="22"/>
      <c r="I18" s="22"/>
    </row>
  </sheetData>
  <mergeCells count="6">
    <mergeCell ref="A1:I1"/>
    <mergeCell ref="A14:I14"/>
    <mergeCell ref="A15:I15"/>
    <mergeCell ref="A16:I16"/>
    <mergeCell ref="A17:I17"/>
    <mergeCell ref="A18:I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2"/>
    <col collapsed="false" customWidth="true" hidden="false" outlineLevel="0" max="8" min="2" style="1" width="14"/>
  </cols>
  <sheetData>
    <row r="1" customFormat="false" ht="30" hidden="false" customHeight="true" outlineLevel="0" collapsed="false">
      <c r="A1" s="2" t="s">
        <v>133</v>
      </c>
      <c r="B1" s="2"/>
      <c r="C1" s="2"/>
      <c r="D1" s="2"/>
      <c r="E1" s="2"/>
      <c r="F1" s="2"/>
      <c r="G1" s="2"/>
      <c r="H1" s="2"/>
      <c r="I1" s="2"/>
    </row>
    <row r="3" customFormat="false" ht="15" hidden="false" customHeight="true" outlineLevel="0" collapsed="false">
      <c r="A3" s="13" t="s">
        <v>134</v>
      </c>
      <c r="B3" s="23" t="s">
        <v>135</v>
      </c>
      <c r="C3" s="23" t="s">
        <v>136</v>
      </c>
      <c r="D3" s="23" t="s">
        <v>137</v>
      </c>
      <c r="E3" s="23" t="s">
        <v>138</v>
      </c>
      <c r="F3" s="23" t="s">
        <v>139</v>
      </c>
      <c r="G3" s="23" t="s">
        <v>140</v>
      </c>
      <c r="H3" s="23" t="s">
        <v>141</v>
      </c>
    </row>
    <row r="4" customFormat="false" ht="15" hidden="false" customHeight="true" outlineLevel="0" collapsed="false">
      <c r="A4" s="14" t="s">
        <v>142</v>
      </c>
      <c r="B4" s="8" t="n">
        <v>0</v>
      </c>
      <c r="C4" s="8" t="n">
        <v>150</v>
      </c>
      <c r="D4" s="8" t="n">
        <v>450</v>
      </c>
      <c r="E4" s="8" t="n">
        <v>1200</v>
      </c>
      <c r="F4" s="8" t="n">
        <v>2400</v>
      </c>
      <c r="G4" s="8" t="n">
        <v>4200</v>
      </c>
      <c r="H4" s="8" t="n">
        <v>6800</v>
      </c>
    </row>
    <row r="5" customFormat="false" ht="15" hidden="false" customHeight="true" outlineLevel="0" collapsed="false">
      <c r="A5" s="14" t="s">
        <v>143</v>
      </c>
      <c r="B5" s="8" t="n">
        <v>0</v>
      </c>
      <c r="C5" s="8" t="n">
        <v>50</v>
      </c>
      <c r="D5" s="8" t="n">
        <v>200</v>
      </c>
      <c r="E5" s="8" t="n">
        <v>500</v>
      </c>
      <c r="F5" s="8" t="n">
        <v>900</v>
      </c>
      <c r="G5" s="8" t="n">
        <v>1500</v>
      </c>
      <c r="H5" s="8" t="n">
        <v>2400</v>
      </c>
    </row>
    <row r="6" customFormat="false" ht="15" hidden="false" customHeight="true" outlineLevel="0" collapsed="false">
      <c r="A6" s="14" t="s">
        <v>144</v>
      </c>
      <c r="B6" s="8" t="n">
        <v>0</v>
      </c>
      <c r="C6" s="8" t="n">
        <v>0</v>
      </c>
      <c r="D6" s="8" t="n">
        <v>100</v>
      </c>
      <c r="E6" s="8" t="n">
        <v>400</v>
      </c>
      <c r="F6" s="8" t="n">
        <v>900</v>
      </c>
      <c r="G6" s="8" t="n">
        <v>1800</v>
      </c>
      <c r="H6" s="8" t="n">
        <v>3200</v>
      </c>
    </row>
    <row r="7" customFormat="false" ht="15" hidden="false" customHeight="true" outlineLevel="0" collapsed="false">
      <c r="A7" s="14" t="s">
        <v>145</v>
      </c>
      <c r="B7" s="8" t="n">
        <v>50</v>
      </c>
      <c r="C7" s="8" t="n">
        <v>150</v>
      </c>
      <c r="D7" s="8" t="n">
        <v>300</v>
      </c>
      <c r="E7" s="8" t="n">
        <v>500</v>
      </c>
      <c r="F7" s="8" t="n">
        <v>700</v>
      </c>
      <c r="G7" s="8" t="n">
        <v>900</v>
      </c>
      <c r="H7" s="8" t="n">
        <v>1100</v>
      </c>
    </row>
    <row r="8" customFormat="false" ht="15" hidden="false" customHeight="true" outlineLevel="0" collapsed="false">
      <c r="A8" s="14" t="s">
        <v>146</v>
      </c>
      <c r="B8" s="8" t="n">
        <v>0</v>
      </c>
      <c r="C8" s="8" t="n">
        <v>30</v>
      </c>
      <c r="D8" s="8" t="n">
        <v>90</v>
      </c>
      <c r="E8" s="8" t="n">
        <v>200</v>
      </c>
      <c r="F8" s="8" t="n">
        <v>400</v>
      </c>
      <c r="G8" s="8" t="n">
        <v>650</v>
      </c>
      <c r="H8" s="8" t="n">
        <v>950</v>
      </c>
    </row>
    <row r="9" customFormat="false" ht="15" hidden="false" customHeight="true" outlineLevel="0" collapsed="false">
      <c r="A9" s="3" t="s">
        <v>147</v>
      </c>
      <c r="B9" s="29" t="n">
        <f aca="false">SUM(B4:B8)</f>
        <v>50</v>
      </c>
      <c r="C9" s="29" t="n">
        <f aca="false">SUM(C4:C8)</f>
        <v>380</v>
      </c>
      <c r="D9" s="29" t="n">
        <f aca="false">SUM(D4:D8)</f>
        <v>1140</v>
      </c>
      <c r="E9" s="29" t="n">
        <f aca="false">SUM(E4:E8)</f>
        <v>2800</v>
      </c>
      <c r="F9" s="29" t="n">
        <f aca="false">SUM(F4:F8)</f>
        <v>5300</v>
      </c>
      <c r="G9" s="29" t="n">
        <f aca="false">SUM(G4:G8)</f>
        <v>9050</v>
      </c>
      <c r="H9" s="29" t="n">
        <f aca="false">SUM(H4:H8)</f>
        <v>14450</v>
      </c>
    </row>
    <row r="11" customFormat="false" ht="15" hidden="false" customHeight="true" outlineLevel="0" collapsed="false">
      <c r="A11" s="30" t="s">
        <v>148</v>
      </c>
    </row>
    <row r="12" customFormat="false" ht="15" hidden="false" customHeight="true" outlineLevel="0" collapsed="false">
      <c r="A12" s="14" t="s">
        <v>149</v>
      </c>
      <c r="B12" s="8" t="n">
        <v>30</v>
      </c>
      <c r="C12" s="8" t="n">
        <v>55</v>
      </c>
      <c r="D12" s="8" t="n">
        <v>95</v>
      </c>
      <c r="E12" s="8" t="n">
        <v>160</v>
      </c>
      <c r="F12" s="8" t="n">
        <v>280</v>
      </c>
      <c r="G12" s="8" t="n">
        <v>450</v>
      </c>
      <c r="H12" s="8" t="n">
        <v>680</v>
      </c>
    </row>
    <row r="13" customFormat="false" ht="15" hidden="false" customHeight="true" outlineLevel="0" collapsed="false">
      <c r="A13" s="14" t="s">
        <v>150</v>
      </c>
      <c r="B13" s="8" t="n">
        <v>20</v>
      </c>
      <c r="C13" s="8" t="n">
        <v>30</v>
      </c>
      <c r="D13" s="8" t="n">
        <v>40</v>
      </c>
      <c r="E13" s="8" t="n">
        <v>55</v>
      </c>
      <c r="F13" s="8" t="n">
        <v>75</v>
      </c>
      <c r="G13" s="8" t="n">
        <v>100</v>
      </c>
      <c r="H13" s="8" t="n">
        <v>140</v>
      </c>
    </row>
    <row r="14" customFormat="false" ht="15" hidden="false" customHeight="true" outlineLevel="0" collapsed="false">
      <c r="A14" s="14" t="s">
        <v>151</v>
      </c>
      <c r="B14" s="8" t="n">
        <v>10</v>
      </c>
      <c r="C14" s="8" t="n">
        <v>18</v>
      </c>
      <c r="D14" s="8" t="n">
        <v>50</v>
      </c>
      <c r="E14" s="8" t="n">
        <v>130</v>
      </c>
      <c r="F14" s="8" t="n">
        <v>270</v>
      </c>
      <c r="G14" s="8" t="n">
        <v>460</v>
      </c>
      <c r="H14" s="8" t="n">
        <v>720</v>
      </c>
    </row>
    <row r="15" customFormat="false" ht="15" hidden="false" customHeight="true" outlineLevel="0" collapsed="false">
      <c r="A15" s="3" t="s">
        <v>152</v>
      </c>
      <c r="B15" s="31" t="n">
        <f aca="false">SUM(B12:B14)</f>
        <v>60</v>
      </c>
      <c r="C15" s="31" t="n">
        <f aca="false">SUM(C12:C14)</f>
        <v>103</v>
      </c>
      <c r="D15" s="31" t="n">
        <f aca="false">SUM(D12:D14)</f>
        <v>185</v>
      </c>
      <c r="E15" s="31" t="n">
        <f aca="false">SUM(E12:E14)</f>
        <v>345</v>
      </c>
      <c r="F15" s="31" t="n">
        <f aca="false">SUM(F12:F14)</f>
        <v>625</v>
      </c>
      <c r="G15" s="31" t="n">
        <f aca="false">SUM(G12:G14)</f>
        <v>1010</v>
      </c>
      <c r="H15" s="31" t="n">
        <f aca="false">SUM(H12:H14)</f>
        <v>1540</v>
      </c>
    </row>
    <row r="17" customFormat="false" ht="15" hidden="false" customHeight="true" outlineLevel="0" collapsed="false">
      <c r="A17" s="32" t="s">
        <v>153</v>
      </c>
      <c r="B17" s="33" t="n">
        <f aca="false">B9-B15</f>
        <v>-10</v>
      </c>
      <c r="C17" s="33" t="n">
        <f aca="false">C9-C15</f>
        <v>277</v>
      </c>
      <c r="D17" s="33" t="n">
        <f aca="false">D9-D15</f>
        <v>955</v>
      </c>
      <c r="E17" s="33" t="n">
        <f aca="false">E9-E15</f>
        <v>2455</v>
      </c>
      <c r="F17" s="33" t="n">
        <f aca="false">F9-F15</f>
        <v>4675</v>
      </c>
      <c r="G17" s="33" t="n">
        <f aca="false">G9-G15</f>
        <v>8040</v>
      </c>
      <c r="H17" s="33" t="n">
        <f aca="false">H9-H15</f>
        <v>12910</v>
      </c>
    </row>
    <row r="18" customFormat="false" ht="15" hidden="false" customHeight="true" outlineLevel="0" collapsed="false">
      <c r="A18" s="11" t="s">
        <v>154</v>
      </c>
      <c r="B18" s="27" t="n">
        <f aca="false">IFERROR(B17/B9,0)</f>
        <v>-0.2</v>
      </c>
      <c r="C18" s="27" t="n">
        <f aca="false">IFERROR(C17/C9,0)</f>
        <v>0.728947368421053</v>
      </c>
      <c r="D18" s="27" t="n">
        <f aca="false">IFERROR(D17/D9,0)</f>
        <v>0.837719298245614</v>
      </c>
      <c r="E18" s="27" t="n">
        <f aca="false">IFERROR(E17/E9,0)</f>
        <v>0.876785714285714</v>
      </c>
      <c r="F18" s="27" t="n">
        <f aca="false">IFERROR(F17/F9,0)</f>
        <v>0.882075471698113</v>
      </c>
      <c r="G18" s="27" t="n">
        <f aca="false">IFERROR(G17/G9,0)</f>
        <v>0.888397790055249</v>
      </c>
      <c r="H18" s="27" t="n">
        <f aca="false">IFERROR(H17/H9,0)</f>
        <v>0.893425605536332</v>
      </c>
    </row>
    <row r="20" customFormat="false" ht="15" hidden="false" customHeight="true" outlineLevel="0" collapsed="false">
      <c r="A20" s="30" t="s">
        <v>155</v>
      </c>
    </row>
    <row r="21" customFormat="false" ht="15" hidden="false" customHeight="true" outlineLevel="0" collapsed="false">
      <c r="A21" s="14" t="s">
        <v>156</v>
      </c>
      <c r="B21" s="8" t="n">
        <v>110</v>
      </c>
      <c r="C21" s="8" t="n">
        <v>230</v>
      </c>
      <c r="D21" s="8" t="n">
        <v>350</v>
      </c>
      <c r="E21" s="8" t="n">
        <v>580</v>
      </c>
      <c r="F21" s="8" t="n">
        <v>860</v>
      </c>
      <c r="G21" s="8" t="n">
        <v>1160</v>
      </c>
      <c r="H21" s="8" t="n">
        <v>1460</v>
      </c>
    </row>
    <row r="22" customFormat="false" ht="15" hidden="false" customHeight="true" outlineLevel="0" collapsed="false">
      <c r="A22" s="14" t="s">
        <v>157</v>
      </c>
      <c r="B22" s="8" t="n">
        <v>40</v>
      </c>
      <c r="C22" s="8" t="n">
        <v>60</v>
      </c>
      <c r="D22" s="8" t="n">
        <v>110</v>
      </c>
      <c r="E22" s="8" t="n">
        <v>220</v>
      </c>
      <c r="F22" s="8" t="n">
        <v>360</v>
      </c>
      <c r="G22" s="8" t="n">
        <v>520</v>
      </c>
      <c r="H22" s="8" t="n">
        <v>700</v>
      </c>
    </row>
    <row r="23" customFormat="false" ht="15" hidden="false" customHeight="true" outlineLevel="0" collapsed="false">
      <c r="A23" s="14" t="s">
        <v>158</v>
      </c>
      <c r="B23" s="8" t="n">
        <v>110</v>
      </c>
      <c r="C23" s="8" t="n">
        <v>160</v>
      </c>
      <c r="D23" s="8" t="n">
        <v>210</v>
      </c>
      <c r="E23" s="8" t="n">
        <v>270</v>
      </c>
      <c r="F23" s="8" t="n">
        <v>330</v>
      </c>
      <c r="G23" s="8" t="n">
        <v>390</v>
      </c>
      <c r="H23" s="8" t="n">
        <v>450</v>
      </c>
    </row>
    <row r="24" customFormat="false" ht="15" hidden="false" customHeight="true" outlineLevel="0" collapsed="false">
      <c r="A24" s="14" t="s">
        <v>159</v>
      </c>
      <c r="B24" s="8" t="n">
        <v>15</v>
      </c>
      <c r="C24" s="8" t="n">
        <v>35</v>
      </c>
      <c r="D24" s="8" t="n">
        <v>70</v>
      </c>
      <c r="E24" s="8" t="n">
        <v>130</v>
      </c>
      <c r="F24" s="8" t="n">
        <v>220</v>
      </c>
      <c r="G24" s="8" t="n">
        <v>340</v>
      </c>
      <c r="H24" s="8" t="n">
        <v>490</v>
      </c>
    </row>
    <row r="25" customFormat="false" ht="15" hidden="false" customHeight="true" outlineLevel="0" collapsed="false">
      <c r="A25" s="14" t="s">
        <v>160</v>
      </c>
      <c r="B25" s="8" t="n">
        <v>10</v>
      </c>
      <c r="C25" s="8" t="n">
        <v>18</v>
      </c>
      <c r="D25" s="8" t="n">
        <v>35</v>
      </c>
      <c r="E25" s="8" t="n">
        <v>60</v>
      </c>
      <c r="F25" s="8" t="n">
        <v>90</v>
      </c>
      <c r="G25" s="8" t="n">
        <v>120</v>
      </c>
      <c r="H25" s="8" t="n">
        <v>160</v>
      </c>
    </row>
    <row r="26" customFormat="false" ht="15" hidden="false" customHeight="true" outlineLevel="0" collapsed="false">
      <c r="A26" s="14" t="s">
        <v>161</v>
      </c>
      <c r="B26" s="8" t="n">
        <v>20</v>
      </c>
      <c r="C26" s="8" t="n">
        <v>35</v>
      </c>
      <c r="D26" s="8" t="n">
        <v>55</v>
      </c>
      <c r="E26" s="8" t="n">
        <v>75</v>
      </c>
      <c r="F26" s="8" t="n">
        <v>100</v>
      </c>
      <c r="G26" s="8" t="n">
        <v>130</v>
      </c>
      <c r="H26" s="8" t="n">
        <v>160</v>
      </c>
    </row>
    <row r="27" customFormat="false" ht="15" hidden="false" customHeight="true" outlineLevel="0" collapsed="false">
      <c r="A27" s="14" t="s">
        <v>162</v>
      </c>
      <c r="B27" s="8" t="n">
        <v>10</v>
      </c>
      <c r="C27" s="8" t="n">
        <v>18</v>
      </c>
      <c r="D27" s="8" t="n">
        <v>28</v>
      </c>
      <c r="E27" s="8" t="n">
        <v>42</v>
      </c>
      <c r="F27" s="8" t="n">
        <v>58</v>
      </c>
      <c r="G27" s="8" t="n">
        <v>72</v>
      </c>
      <c r="H27" s="8" t="n">
        <v>88</v>
      </c>
    </row>
    <row r="28" customFormat="false" ht="15" hidden="false" customHeight="true" outlineLevel="0" collapsed="false">
      <c r="A28" s="14" t="s">
        <v>163</v>
      </c>
      <c r="B28" s="8" t="n">
        <v>15</v>
      </c>
      <c r="C28" s="8" t="n">
        <v>28</v>
      </c>
      <c r="D28" s="8" t="n">
        <v>45</v>
      </c>
      <c r="E28" s="8" t="n">
        <v>75</v>
      </c>
      <c r="F28" s="8" t="n">
        <v>110</v>
      </c>
      <c r="G28" s="8" t="n">
        <v>150</v>
      </c>
      <c r="H28" s="8" t="n">
        <v>190</v>
      </c>
    </row>
    <row r="29" customFormat="false" ht="15" hidden="false" customHeight="true" outlineLevel="0" collapsed="false">
      <c r="A29" s="3" t="s">
        <v>164</v>
      </c>
      <c r="B29" s="31" t="n">
        <f aca="false">SUM(B21:B28)</f>
        <v>330</v>
      </c>
      <c r="C29" s="31" t="n">
        <f aca="false">SUM(C21:C28)</f>
        <v>584</v>
      </c>
      <c r="D29" s="31" t="n">
        <f aca="false">SUM(D21:D28)</f>
        <v>903</v>
      </c>
      <c r="E29" s="31" t="n">
        <f aca="false">SUM(E21:E28)</f>
        <v>1452</v>
      </c>
      <c r="F29" s="31" t="n">
        <f aca="false">SUM(F21:F28)</f>
        <v>2128</v>
      </c>
      <c r="G29" s="31" t="n">
        <f aca="false">SUM(G21:G28)</f>
        <v>2882</v>
      </c>
      <c r="H29" s="31" t="n">
        <f aca="false">SUM(H21:H28)</f>
        <v>3698</v>
      </c>
    </row>
    <row r="31" customFormat="false" ht="15" hidden="false" customHeight="true" outlineLevel="0" collapsed="false">
      <c r="A31" s="32" t="s">
        <v>165</v>
      </c>
      <c r="B31" s="33" t="n">
        <f aca="false">B17-B29</f>
        <v>-340</v>
      </c>
      <c r="C31" s="33" t="n">
        <f aca="false">C17-C29</f>
        <v>-307</v>
      </c>
      <c r="D31" s="33" t="n">
        <f aca="false">D17-D29</f>
        <v>52</v>
      </c>
      <c r="E31" s="33" t="n">
        <f aca="false">E17-E29</f>
        <v>1003</v>
      </c>
      <c r="F31" s="33" t="n">
        <f aca="false">F17-F29</f>
        <v>2547</v>
      </c>
      <c r="G31" s="33" t="n">
        <f aca="false">G17-G29</f>
        <v>5158</v>
      </c>
      <c r="H31" s="33" t="n">
        <f aca="false">H17-H29</f>
        <v>9212</v>
      </c>
    </row>
    <row r="32" customFormat="false" ht="15" hidden="false" customHeight="true" outlineLevel="0" collapsed="false">
      <c r="A32" s="11" t="s">
        <v>166</v>
      </c>
      <c r="B32" s="27" t="n">
        <f aca="false">IFERROR(B31/B9,0)</f>
        <v>-6.8</v>
      </c>
      <c r="C32" s="27" t="n">
        <f aca="false">IFERROR(C31/C9,0)</f>
        <v>-0.807894736842105</v>
      </c>
      <c r="D32" s="27" t="n">
        <f aca="false">IFERROR(D31/D9,0)</f>
        <v>0.0456140350877193</v>
      </c>
      <c r="E32" s="27" t="n">
        <f aca="false">IFERROR(E31/E9,0)</f>
        <v>0.358214285714286</v>
      </c>
      <c r="F32" s="27" t="n">
        <f aca="false">IFERROR(F31/F9,0)</f>
        <v>0.480566037735849</v>
      </c>
      <c r="G32" s="27" t="n">
        <f aca="false">IFERROR(G31/G9,0)</f>
        <v>0.569944751381216</v>
      </c>
      <c r="H32" s="27" t="n">
        <f aca="false">IFERROR(H31/H9,0)</f>
        <v>0.637508650519031</v>
      </c>
    </row>
    <row r="34" customFormat="false" ht="15" hidden="false" customHeight="true" outlineLevel="0" collapsed="false">
      <c r="A34" s="34" t="s">
        <v>167</v>
      </c>
      <c r="B34" s="8" t="n">
        <v>10</v>
      </c>
      <c r="C34" s="8" t="n">
        <v>30</v>
      </c>
      <c r="D34" s="8" t="n">
        <v>60</v>
      </c>
      <c r="E34" s="8" t="n">
        <v>90</v>
      </c>
      <c r="F34" s="8" t="n">
        <v>120</v>
      </c>
      <c r="G34" s="8" t="n">
        <v>150</v>
      </c>
      <c r="H34" s="8" t="n">
        <v>180</v>
      </c>
    </row>
    <row r="35" customFormat="false" ht="15" hidden="false" customHeight="true" outlineLevel="0" collapsed="false">
      <c r="A35" s="3" t="s">
        <v>168</v>
      </c>
      <c r="B35" s="31" t="n">
        <f aca="false">B31-B34</f>
        <v>-350</v>
      </c>
      <c r="C35" s="31" t="n">
        <f aca="false">C31-C34</f>
        <v>-337</v>
      </c>
      <c r="D35" s="31" t="n">
        <f aca="false">D31-D34</f>
        <v>-8</v>
      </c>
      <c r="E35" s="31" t="n">
        <f aca="false">E31-E34</f>
        <v>913</v>
      </c>
      <c r="F35" s="31" t="n">
        <f aca="false">F31-F34</f>
        <v>2427</v>
      </c>
      <c r="G35" s="31" t="n">
        <f aca="false">G31-G34</f>
        <v>5008</v>
      </c>
      <c r="H35" s="31" t="n">
        <f aca="false">H31-H34</f>
        <v>9032</v>
      </c>
    </row>
    <row r="36" customFormat="false" ht="15" hidden="false" customHeight="true" outlineLevel="0" collapsed="false">
      <c r="A36" s="34" t="s">
        <v>169</v>
      </c>
      <c r="B36" s="35" t="n">
        <f aca="false">'3_Interest_Repayment'!F4/1000</f>
        <v>9.62</v>
      </c>
      <c r="C36" s="35" t="n">
        <f aca="false">'3_Interest_Repayment'!F5/1000</f>
        <v>11.46297</v>
      </c>
      <c r="D36" s="35" t="n">
        <f aca="false">'3_Interest_Repayment'!F6/1000</f>
        <v>53.36013978</v>
      </c>
      <c r="E36" s="35" t="n">
        <f aca="false">'3_Interest_Repayment'!F7/1000</f>
        <v>42.688111824</v>
      </c>
      <c r="F36" s="35" t="n">
        <f aca="false">'3_Interest_Repayment'!F8/1000</f>
        <v>32.016083868</v>
      </c>
      <c r="G36" s="35" t="n">
        <f aca="false">'3_Interest_Repayment'!F9/1000</f>
        <v>21.344055912</v>
      </c>
      <c r="H36" s="35" t="n">
        <f aca="false">'3_Interest_Repayment'!F10/1000</f>
        <v>10.672027956</v>
      </c>
    </row>
    <row r="37" customFormat="false" ht="15" hidden="false" customHeight="true" outlineLevel="0" collapsed="false">
      <c r="A37" s="3" t="s">
        <v>170</v>
      </c>
      <c r="B37" s="31" t="n">
        <f aca="false">B35-B36</f>
        <v>-359.62</v>
      </c>
      <c r="C37" s="31" t="n">
        <f aca="false">C35-C36</f>
        <v>-348.46297</v>
      </c>
      <c r="D37" s="31" t="n">
        <f aca="false">D35-D36</f>
        <v>-61.36013978</v>
      </c>
      <c r="E37" s="31" t="n">
        <f aca="false">E35-E36</f>
        <v>870.311888176</v>
      </c>
      <c r="F37" s="31" t="n">
        <f aca="false">F35-F36</f>
        <v>2394.983916132</v>
      </c>
      <c r="G37" s="31" t="n">
        <f aca="false">G35-G36</f>
        <v>4986.655944088</v>
      </c>
      <c r="H37" s="31" t="n">
        <f aca="false">H35-H36</f>
        <v>9021.327972044</v>
      </c>
    </row>
    <row r="38" customFormat="false" ht="15" hidden="false" customHeight="true" outlineLevel="0" collapsed="false">
      <c r="A38" s="34" t="s">
        <v>171</v>
      </c>
      <c r="B38" s="36" t="n">
        <f aca="false">MIN(0,B37)*0</f>
        <v>-0</v>
      </c>
      <c r="C38" s="36" t="n">
        <f aca="false">MIN(0,C37)*0</f>
        <v>-0</v>
      </c>
      <c r="D38" s="36" t="n">
        <f aca="false">MIN(0,D37)*0</f>
        <v>-0</v>
      </c>
      <c r="E38" s="36" t="n">
        <f aca="false">MAX(0,E37)*0.25</f>
        <v>217.577972044</v>
      </c>
      <c r="F38" s="36" t="n">
        <f aca="false">MAX(0,F37)*0.25</f>
        <v>598.745979033</v>
      </c>
      <c r="G38" s="36" t="n">
        <f aca="false">MAX(0,G37)*0.25</f>
        <v>1246.663986022</v>
      </c>
      <c r="H38" s="36" t="n">
        <f aca="false">MAX(0,H37)*0.25</f>
        <v>2255.331993011</v>
      </c>
    </row>
    <row r="39" customFormat="false" ht="15" hidden="false" customHeight="true" outlineLevel="0" collapsed="false">
      <c r="A39" s="13" t="s">
        <v>172</v>
      </c>
      <c r="B39" s="37" t="n">
        <f aca="false">B37-B38</f>
        <v>-359.62</v>
      </c>
      <c r="C39" s="37" t="n">
        <f aca="false">C37-C38</f>
        <v>-348.46297</v>
      </c>
      <c r="D39" s="37" t="n">
        <f aca="false">D37-D38</f>
        <v>-61.36013978</v>
      </c>
      <c r="E39" s="37" t="n">
        <f aca="false">E37-E38</f>
        <v>652.733916132</v>
      </c>
      <c r="F39" s="37" t="n">
        <f aca="false">F37-F38</f>
        <v>1796.237937099</v>
      </c>
      <c r="G39" s="37" t="n">
        <f aca="false">G37-G38</f>
        <v>3739.991958066</v>
      </c>
      <c r="H39" s="37" t="n">
        <f aca="false">H37-H38</f>
        <v>6765.995979033</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2"/>
    <col collapsed="false" customWidth="true" hidden="false" outlineLevel="0" max="8" min="2" style="1" width="14"/>
  </cols>
  <sheetData>
    <row r="1" customFormat="false" ht="30" hidden="false" customHeight="true" outlineLevel="0" collapsed="false">
      <c r="A1" s="2" t="s">
        <v>173</v>
      </c>
      <c r="B1" s="2"/>
      <c r="C1" s="2"/>
      <c r="D1" s="2"/>
      <c r="E1" s="2"/>
      <c r="F1" s="2"/>
      <c r="G1" s="2"/>
      <c r="H1" s="2"/>
      <c r="I1" s="2"/>
    </row>
    <row r="3" customFormat="false" ht="15" hidden="false" customHeight="true" outlineLevel="0" collapsed="false">
      <c r="A3" s="13" t="s">
        <v>134</v>
      </c>
      <c r="B3" s="23" t="s">
        <v>135</v>
      </c>
      <c r="C3" s="23" t="s">
        <v>136</v>
      </c>
      <c r="D3" s="23" t="s">
        <v>137</v>
      </c>
      <c r="E3" s="23" t="s">
        <v>138</v>
      </c>
      <c r="F3" s="23" t="s">
        <v>139</v>
      </c>
      <c r="G3" s="23" t="s">
        <v>140</v>
      </c>
      <c r="H3" s="23" t="s">
        <v>141</v>
      </c>
    </row>
    <row r="4" customFormat="false" ht="15" hidden="false" customHeight="true" outlineLevel="0" collapsed="false">
      <c r="A4" s="30" t="s">
        <v>174</v>
      </c>
    </row>
    <row r="5" customFormat="false" ht="15" hidden="false" customHeight="true" outlineLevel="0" collapsed="false">
      <c r="A5" s="34" t="s">
        <v>175</v>
      </c>
      <c r="B5" s="35" t="n">
        <f aca="false">'4_PnL_Forecast'!B31</f>
        <v>-340</v>
      </c>
      <c r="C5" s="35" t="n">
        <f aca="false">'4_PnL_Forecast'!C31</f>
        <v>-307</v>
      </c>
      <c r="D5" s="35" t="n">
        <f aca="false">'4_PnL_Forecast'!D31</f>
        <v>52</v>
      </c>
      <c r="E5" s="35" t="n">
        <f aca="false">'4_PnL_Forecast'!E31</f>
        <v>1003</v>
      </c>
      <c r="F5" s="35" t="n">
        <f aca="false">'4_PnL_Forecast'!F31</f>
        <v>2547</v>
      </c>
      <c r="G5" s="35" t="n">
        <f aca="false">'4_PnL_Forecast'!G31</f>
        <v>5158</v>
      </c>
      <c r="H5" s="35" t="n">
        <f aca="false">'4_PnL_Forecast'!H31</f>
        <v>9212</v>
      </c>
    </row>
    <row r="6" customFormat="false" ht="15" hidden="false" customHeight="true" outlineLevel="0" collapsed="false">
      <c r="A6" s="34" t="s">
        <v>176</v>
      </c>
      <c r="B6" s="8" t="n">
        <v>-10</v>
      </c>
      <c r="C6" s="8" t="n">
        <v>-25</v>
      </c>
      <c r="D6" s="8" t="n">
        <v>-50</v>
      </c>
      <c r="E6" s="8" t="n">
        <v>-85</v>
      </c>
      <c r="F6" s="8" t="n">
        <v>-140</v>
      </c>
      <c r="G6" s="8" t="n">
        <v>-200</v>
      </c>
      <c r="H6" s="8" t="n">
        <v>-270</v>
      </c>
    </row>
    <row r="7" customFormat="false" ht="15" hidden="false" customHeight="true" outlineLevel="0" collapsed="false">
      <c r="A7" s="34" t="s">
        <v>177</v>
      </c>
      <c r="B7" s="35" t="n">
        <f aca="false">-'4_PnL_Forecast'!B38</f>
        <v>0</v>
      </c>
      <c r="C7" s="35" t="n">
        <f aca="false">-'4_PnL_Forecast'!C38</f>
        <v>0</v>
      </c>
      <c r="D7" s="35" t="n">
        <f aca="false">-'4_PnL_Forecast'!D38</f>
        <v>0</v>
      </c>
      <c r="E7" s="35" t="n">
        <f aca="false">-'4_PnL_Forecast'!E38</f>
        <v>-217.577972044</v>
      </c>
      <c r="F7" s="35" t="n">
        <f aca="false">-'4_PnL_Forecast'!F38</f>
        <v>-598.745979033</v>
      </c>
      <c r="G7" s="35" t="n">
        <f aca="false">-'4_PnL_Forecast'!G38</f>
        <v>-1246.663986022</v>
      </c>
      <c r="H7" s="35" t="n">
        <f aca="false">-'4_PnL_Forecast'!H38</f>
        <v>-2255.331993011</v>
      </c>
    </row>
    <row r="8" customFormat="false" ht="15" hidden="false" customHeight="true" outlineLevel="0" collapsed="false">
      <c r="A8" s="3" t="s">
        <v>178</v>
      </c>
      <c r="B8" s="29" t="n">
        <f aca="false">B5+B6+B7</f>
        <v>-350</v>
      </c>
      <c r="C8" s="29" t="n">
        <f aca="false">C5+C6+C7</f>
        <v>-332</v>
      </c>
      <c r="D8" s="29" t="n">
        <f aca="false">D5+D6+D7</f>
        <v>2</v>
      </c>
      <c r="E8" s="29" t="n">
        <f aca="false">E5+E6+E7</f>
        <v>700.422027956</v>
      </c>
      <c r="F8" s="29" t="n">
        <f aca="false">F5+F6+F7</f>
        <v>1808.254020967</v>
      </c>
      <c r="G8" s="29" t="n">
        <f aca="false">G5+G6+G7</f>
        <v>3711.336013978</v>
      </c>
      <c r="H8" s="29" t="n">
        <f aca="false">H5+H6+H7</f>
        <v>6686.668006989</v>
      </c>
    </row>
    <row r="10" customFormat="false" ht="15" hidden="false" customHeight="true" outlineLevel="0" collapsed="false">
      <c r="A10" s="30" t="s">
        <v>179</v>
      </c>
    </row>
    <row r="11" customFormat="false" ht="15" hidden="false" customHeight="true" outlineLevel="0" collapsed="false">
      <c r="A11" s="34" t="s">
        <v>180</v>
      </c>
      <c r="B11" s="8" t="n">
        <v>-60</v>
      </c>
      <c r="C11" s="8" t="n">
        <v>-50</v>
      </c>
      <c r="D11" s="8" t="n">
        <v>-45</v>
      </c>
      <c r="E11" s="8" t="n">
        <v>-65</v>
      </c>
      <c r="F11" s="8" t="n">
        <v>-85</v>
      </c>
      <c r="G11" s="8" t="n">
        <v>-110</v>
      </c>
      <c r="H11" s="8" t="n">
        <v>-150</v>
      </c>
    </row>
    <row r="12" customFormat="false" ht="15" hidden="false" customHeight="true" outlineLevel="0" collapsed="false">
      <c r="A12" s="3" t="s">
        <v>181</v>
      </c>
      <c r="B12" s="31" t="n">
        <f aca="false">B11</f>
        <v>-60</v>
      </c>
      <c r="C12" s="31" t="n">
        <f aca="false">C11</f>
        <v>-50</v>
      </c>
      <c r="D12" s="31" t="n">
        <f aca="false">D11</f>
        <v>-45</v>
      </c>
      <c r="E12" s="31" t="n">
        <f aca="false">E11</f>
        <v>-65</v>
      </c>
      <c r="F12" s="31" t="n">
        <f aca="false">F11</f>
        <v>-85</v>
      </c>
      <c r="G12" s="31" t="n">
        <f aca="false">G11</f>
        <v>-110</v>
      </c>
      <c r="H12" s="31" t="n">
        <f aca="false">H11</f>
        <v>-150</v>
      </c>
    </row>
    <row r="14" customFormat="false" ht="15" hidden="false" customHeight="true" outlineLevel="0" collapsed="false">
      <c r="A14" s="30" t="s">
        <v>182</v>
      </c>
    </row>
    <row r="15" customFormat="false" ht="15" hidden="false" customHeight="true" outlineLevel="0" collapsed="false">
      <c r="A15" s="34" t="s">
        <v>183</v>
      </c>
      <c r="B15" s="35" t="n">
        <f aca="false">'3_Interest_Repayment'!D4/1000</f>
        <v>520</v>
      </c>
      <c r="C15" s="35" t="n">
        <f aca="false">'3_Interest_Repayment'!D5/1000</f>
        <v>180</v>
      </c>
      <c r="D15" s="35" t="n">
        <f aca="false">'3_Interest_Repayment'!D6/1000</f>
        <v>0</v>
      </c>
      <c r="E15" s="35" t="n">
        <f aca="false">'3_Interest_Repayment'!D7/1000</f>
        <v>0</v>
      </c>
      <c r="F15" s="35" t="n">
        <f aca="false">'3_Interest_Repayment'!D8/1000</f>
        <v>0</v>
      </c>
      <c r="G15" s="35" t="n">
        <f aca="false">'3_Interest_Repayment'!D9/1000</f>
        <v>0</v>
      </c>
      <c r="H15" s="35" t="n">
        <f aca="false">'3_Interest_Repayment'!D10/1000</f>
        <v>0</v>
      </c>
    </row>
    <row r="16" customFormat="false" ht="15" hidden="false" customHeight="true" outlineLevel="0" collapsed="false">
      <c r="A16" s="34" t="s">
        <v>184</v>
      </c>
      <c r="B16" s="35" t="n">
        <f aca="false">-'3_Interest_Repayment'!G4/1000</f>
        <v>-0</v>
      </c>
      <c r="C16" s="35" t="n">
        <f aca="false">-'3_Interest_Repayment'!G5/1000</f>
        <v>-0</v>
      </c>
      <c r="D16" s="35" t="n">
        <f aca="false">-'3_Interest_Repayment'!G6/1000</f>
        <v>-144.216594</v>
      </c>
      <c r="E16" s="35" t="n">
        <f aca="false">-'3_Interest_Repayment'!G7/1000</f>
        <v>-144.216594</v>
      </c>
      <c r="F16" s="35" t="n">
        <f aca="false">-'3_Interest_Repayment'!G8/1000</f>
        <v>-144.216594</v>
      </c>
      <c r="G16" s="35" t="n">
        <f aca="false">-'3_Interest_Repayment'!G9/1000</f>
        <v>-144.216594</v>
      </c>
      <c r="H16" s="35" t="n">
        <f aca="false">-'3_Interest_Repayment'!G10/1000</f>
        <v>-144.216594</v>
      </c>
    </row>
    <row r="17" customFormat="false" ht="15" hidden="false" customHeight="true" outlineLevel="0" collapsed="false">
      <c r="A17" s="34" t="s">
        <v>185</v>
      </c>
      <c r="B17" s="35" t="n">
        <f aca="false">-'3_Interest_Repayment'!H4/1000</f>
        <v>-0</v>
      </c>
      <c r="C17" s="35" t="n">
        <f aca="false">-'3_Interest_Repayment'!H5/1000</f>
        <v>-0</v>
      </c>
      <c r="D17" s="35" t="n">
        <f aca="false">-'3_Interest_Repayment'!H6/1000</f>
        <v>-53.36013978</v>
      </c>
      <c r="E17" s="35" t="n">
        <f aca="false">-'3_Interest_Repayment'!H7/1000</f>
        <v>-42.688111824</v>
      </c>
      <c r="F17" s="35" t="n">
        <f aca="false">-'3_Interest_Repayment'!H8/1000</f>
        <v>-32.016083868</v>
      </c>
      <c r="G17" s="35" t="n">
        <f aca="false">-'3_Interest_Repayment'!H9/1000</f>
        <v>-21.344055912</v>
      </c>
      <c r="H17" s="35" t="n">
        <f aca="false">-'3_Interest_Repayment'!H10/1000</f>
        <v>-10.672027956</v>
      </c>
    </row>
    <row r="18" customFormat="false" ht="15" hidden="false" customHeight="true" outlineLevel="0" collapsed="false">
      <c r="A18" s="34" t="s">
        <v>186</v>
      </c>
      <c r="B18" s="8" t="n">
        <v>0</v>
      </c>
      <c r="C18" s="8" t="n">
        <v>1000</v>
      </c>
      <c r="D18" s="8" t="n">
        <v>0</v>
      </c>
      <c r="E18" s="8" t="n">
        <v>0</v>
      </c>
      <c r="F18" s="8" t="n">
        <v>0</v>
      </c>
      <c r="G18" s="8" t="n">
        <v>0</v>
      </c>
      <c r="H18" s="8" t="n">
        <v>0</v>
      </c>
    </row>
    <row r="19" customFormat="false" ht="15" hidden="false" customHeight="true" outlineLevel="0" collapsed="false">
      <c r="A19" s="3" t="s">
        <v>187</v>
      </c>
      <c r="B19" s="31" t="n">
        <f aca="false">B15+B16+B17+B18</f>
        <v>520</v>
      </c>
      <c r="C19" s="31" t="n">
        <f aca="false">C15+C16+C17+C18</f>
        <v>1180</v>
      </c>
      <c r="D19" s="31" t="n">
        <f aca="false">D15+D16+D17+D18</f>
        <v>-197.57673378</v>
      </c>
      <c r="E19" s="31" t="n">
        <f aca="false">E15+E16+E17+E18</f>
        <v>-186.904705824</v>
      </c>
      <c r="F19" s="31" t="n">
        <f aca="false">F15+F16+F17+F18</f>
        <v>-176.232677868</v>
      </c>
      <c r="G19" s="31" t="n">
        <f aca="false">G15+G16+G17+G18</f>
        <v>-165.560649912</v>
      </c>
      <c r="H19" s="31" t="n">
        <f aca="false">H15+H16+H17+H18</f>
        <v>-154.888621956</v>
      </c>
    </row>
    <row r="21" customFormat="false" ht="15" hidden="false" customHeight="true" outlineLevel="0" collapsed="false">
      <c r="A21" s="32" t="s">
        <v>188</v>
      </c>
      <c r="B21" s="33" t="n">
        <f aca="false">B8+B12+B19</f>
        <v>110</v>
      </c>
      <c r="C21" s="33" t="n">
        <f aca="false">C8+C12+C19</f>
        <v>798</v>
      </c>
      <c r="D21" s="33" t="n">
        <f aca="false">D8+D12+D19</f>
        <v>-240.57673378</v>
      </c>
      <c r="E21" s="33" t="n">
        <f aca="false">E8+E12+E19</f>
        <v>448.517322132</v>
      </c>
      <c r="F21" s="33" t="n">
        <f aca="false">F8+F12+F19</f>
        <v>1547.021343099</v>
      </c>
      <c r="G21" s="33" t="n">
        <f aca="false">G8+G12+G19</f>
        <v>3435.775364066</v>
      </c>
      <c r="H21" s="33" t="n">
        <f aca="false">H8+H12+H19</f>
        <v>6381.779385033</v>
      </c>
    </row>
    <row r="22" customFormat="false" ht="15" hidden="false" customHeight="true" outlineLevel="0" collapsed="false">
      <c r="A22" s="34" t="s">
        <v>189</v>
      </c>
      <c r="B22" s="8" t="n">
        <v>0</v>
      </c>
      <c r="C22" s="36" t="n">
        <f aca="false">B23</f>
        <v>110</v>
      </c>
      <c r="D22" s="36" t="n">
        <f aca="false">C23</f>
        <v>908</v>
      </c>
      <c r="E22" s="36" t="n">
        <f aca="false">D23</f>
        <v>667.42326622</v>
      </c>
      <c r="F22" s="36" t="n">
        <f aca="false">E23</f>
        <v>1115.940588352</v>
      </c>
      <c r="G22" s="36" t="n">
        <f aca="false">F23</f>
        <v>2662.961931451</v>
      </c>
      <c r="H22" s="36" t="n">
        <f aca="false">G23</f>
        <v>6098.737295517</v>
      </c>
    </row>
    <row r="23" customFormat="false" ht="15" hidden="false" customHeight="true" outlineLevel="0" collapsed="false">
      <c r="A23" s="13" t="s">
        <v>190</v>
      </c>
      <c r="B23" s="37" t="n">
        <f aca="false">B22+B21</f>
        <v>110</v>
      </c>
      <c r="C23" s="37" t="n">
        <f aca="false">C22+C21</f>
        <v>908</v>
      </c>
      <c r="D23" s="37" t="n">
        <f aca="false">D22+D21</f>
        <v>667.42326622</v>
      </c>
      <c r="E23" s="37" t="n">
        <f aca="false">E22+E21</f>
        <v>1115.940588352</v>
      </c>
      <c r="F23" s="37" t="n">
        <f aca="false">F22+F21</f>
        <v>2662.961931451</v>
      </c>
      <c r="G23" s="37" t="n">
        <f aca="false">G22+G21</f>
        <v>6098.737295517</v>
      </c>
      <c r="H23" s="37" t="n">
        <f aca="false">H22+H21</f>
        <v>12480.51668055</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2"/>
    <col collapsed="false" customWidth="true" hidden="false" outlineLevel="0" max="8" min="2" style="1" width="14"/>
  </cols>
  <sheetData>
    <row r="1" customFormat="false" ht="30" hidden="false" customHeight="true" outlineLevel="0" collapsed="false">
      <c r="A1" s="2" t="s">
        <v>191</v>
      </c>
      <c r="B1" s="2"/>
      <c r="C1" s="2"/>
      <c r="D1" s="2"/>
      <c r="E1" s="2"/>
      <c r="F1" s="2"/>
      <c r="G1" s="2"/>
      <c r="H1" s="2"/>
      <c r="I1" s="2"/>
    </row>
    <row r="3" customFormat="false" ht="15" hidden="false" customHeight="true" outlineLevel="0" collapsed="false">
      <c r="A3" s="13" t="s">
        <v>134</v>
      </c>
      <c r="B3" s="23" t="s">
        <v>135</v>
      </c>
      <c r="C3" s="23" t="s">
        <v>136</v>
      </c>
      <c r="D3" s="23" t="s">
        <v>137</v>
      </c>
      <c r="E3" s="23" t="s">
        <v>138</v>
      </c>
      <c r="F3" s="23" t="s">
        <v>139</v>
      </c>
      <c r="G3" s="23" t="s">
        <v>140</v>
      </c>
      <c r="H3" s="23" t="s">
        <v>141</v>
      </c>
    </row>
    <row r="4" customFormat="false" ht="15" hidden="false" customHeight="true" outlineLevel="0" collapsed="false">
      <c r="A4" s="30" t="s">
        <v>192</v>
      </c>
    </row>
    <row r="5" customFormat="false" ht="15" hidden="false" customHeight="true" outlineLevel="0" collapsed="false">
      <c r="A5" s="34" t="s">
        <v>193</v>
      </c>
      <c r="B5" s="35" t="n">
        <f aca="false">'5_Cashflow'!B23</f>
        <v>110</v>
      </c>
      <c r="C5" s="35" t="n">
        <f aca="false">'5_Cashflow'!C23</f>
        <v>908</v>
      </c>
      <c r="D5" s="35" t="n">
        <f aca="false">'5_Cashflow'!D23</f>
        <v>667.42326622</v>
      </c>
      <c r="E5" s="35" t="n">
        <f aca="false">'5_Cashflow'!E23</f>
        <v>1115.940588352</v>
      </c>
      <c r="F5" s="35" t="n">
        <f aca="false">'5_Cashflow'!F23</f>
        <v>2662.961931451</v>
      </c>
      <c r="G5" s="35" t="n">
        <f aca="false">'5_Cashflow'!G23</f>
        <v>6098.737295517</v>
      </c>
      <c r="H5" s="35" t="n">
        <f aca="false">'5_Cashflow'!H23</f>
        <v>12480.51668055</v>
      </c>
    </row>
    <row r="6" customFormat="false" ht="15" hidden="false" customHeight="true" outlineLevel="0" collapsed="false">
      <c r="A6" s="34" t="s">
        <v>194</v>
      </c>
      <c r="B6" s="8" t="n">
        <v>10</v>
      </c>
      <c r="C6" s="8" t="n">
        <v>40</v>
      </c>
      <c r="D6" s="8" t="n">
        <v>100</v>
      </c>
      <c r="E6" s="8" t="n">
        <v>200</v>
      </c>
      <c r="F6" s="8" t="n">
        <v>360</v>
      </c>
      <c r="G6" s="8" t="n">
        <v>580</v>
      </c>
      <c r="H6" s="8" t="n">
        <v>880</v>
      </c>
    </row>
    <row r="7" customFormat="false" ht="15" hidden="false" customHeight="true" outlineLevel="0" collapsed="false">
      <c r="A7" s="34" t="s">
        <v>195</v>
      </c>
      <c r="B7" s="8" t="n">
        <v>20</v>
      </c>
      <c r="C7" s="8" t="n">
        <v>25</v>
      </c>
      <c r="D7" s="8" t="n">
        <v>35</v>
      </c>
      <c r="E7" s="8" t="n">
        <v>50</v>
      </c>
      <c r="F7" s="8" t="n">
        <v>70</v>
      </c>
      <c r="G7" s="8" t="n">
        <v>90</v>
      </c>
      <c r="H7" s="8" t="n">
        <v>110</v>
      </c>
    </row>
    <row r="8" customFormat="false" ht="15" hidden="false" customHeight="true" outlineLevel="0" collapsed="false">
      <c r="A8" s="38" t="s">
        <v>196</v>
      </c>
      <c r="B8" s="29" t="n">
        <f aca="false">SUM(B5:B7)</f>
        <v>140</v>
      </c>
      <c r="C8" s="29" t="n">
        <f aca="false">SUM(C5:C7)</f>
        <v>973</v>
      </c>
      <c r="D8" s="29" t="n">
        <f aca="false">SUM(D5:D7)</f>
        <v>802.42326622</v>
      </c>
      <c r="E8" s="29" t="n">
        <f aca="false">SUM(E5:E7)</f>
        <v>1365.940588352</v>
      </c>
      <c r="F8" s="29" t="n">
        <f aca="false">SUM(F5:F7)</f>
        <v>3092.961931451</v>
      </c>
      <c r="G8" s="29" t="n">
        <f aca="false">SUM(G5:G7)</f>
        <v>6768.737295517</v>
      </c>
      <c r="H8" s="29" t="n">
        <f aca="false">SUM(H5:H7)</f>
        <v>13470.51668055</v>
      </c>
    </row>
    <row r="9" customFormat="false" ht="15" hidden="false" customHeight="true" outlineLevel="0" collapsed="false">
      <c r="A9" s="34" t="s">
        <v>197</v>
      </c>
      <c r="B9" s="8" t="n">
        <v>80</v>
      </c>
      <c r="C9" s="8" t="n">
        <v>130</v>
      </c>
      <c r="D9" s="8" t="n">
        <v>180</v>
      </c>
      <c r="E9" s="8" t="n">
        <v>250</v>
      </c>
      <c r="F9" s="8" t="n">
        <v>340</v>
      </c>
      <c r="G9" s="8" t="n">
        <v>460</v>
      </c>
      <c r="H9" s="8" t="n">
        <v>620</v>
      </c>
    </row>
    <row r="10" customFormat="false" ht="15" hidden="false" customHeight="true" outlineLevel="0" collapsed="false">
      <c r="A10" s="34" t="s">
        <v>198</v>
      </c>
      <c r="B10" s="8" t="n">
        <v>50</v>
      </c>
      <c r="C10" s="8" t="n">
        <v>130</v>
      </c>
      <c r="D10" s="8" t="n">
        <v>220</v>
      </c>
      <c r="E10" s="8" t="n">
        <v>320</v>
      </c>
      <c r="F10" s="8" t="n">
        <v>430</v>
      </c>
      <c r="G10" s="8" t="n">
        <v>550</v>
      </c>
      <c r="H10" s="8" t="n">
        <v>680</v>
      </c>
    </row>
    <row r="11" customFormat="false" ht="15" hidden="false" customHeight="true" outlineLevel="0" collapsed="false">
      <c r="A11" s="38" t="s">
        <v>199</v>
      </c>
      <c r="B11" s="29" t="n">
        <f aca="false">B9+B10</f>
        <v>130</v>
      </c>
      <c r="C11" s="29" t="n">
        <f aca="false">C9+C10</f>
        <v>260</v>
      </c>
      <c r="D11" s="29" t="n">
        <f aca="false">D9+D10</f>
        <v>400</v>
      </c>
      <c r="E11" s="29" t="n">
        <f aca="false">E9+E10</f>
        <v>570</v>
      </c>
      <c r="F11" s="29" t="n">
        <f aca="false">F9+F10</f>
        <v>770</v>
      </c>
      <c r="G11" s="29" t="n">
        <f aca="false">G9+G10</f>
        <v>1010</v>
      </c>
      <c r="H11" s="29" t="n">
        <f aca="false">H9+H10</f>
        <v>1300</v>
      </c>
    </row>
    <row r="12" customFormat="false" ht="15" hidden="false" customHeight="true" outlineLevel="0" collapsed="false">
      <c r="A12" s="13" t="s">
        <v>200</v>
      </c>
      <c r="B12" s="37" t="n">
        <f aca="false">B8+B11</f>
        <v>270</v>
      </c>
      <c r="C12" s="37" t="n">
        <f aca="false">C8+C11</f>
        <v>1233</v>
      </c>
      <c r="D12" s="37" t="n">
        <f aca="false">D8+D11</f>
        <v>1202.42326622</v>
      </c>
      <c r="E12" s="37" t="n">
        <f aca="false">E8+E11</f>
        <v>1935.940588352</v>
      </c>
      <c r="F12" s="37" t="n">
        <f aca="false">F8+F11</f>
        <v>3862.961931451</v>
      </c>
      <c r="G12" s="37" t="n">
        <f aca="false">G8+G11</f>
        <v>7778.737295517</v>
      </c>
      <c r="H12" s="37" t="n">
        <f aca="false">H8+H11</f>
        <v>14770.51668055</v>
      </c>
    </row>
    <row r="14" customFormat="false" ht="15" hidden="false" customHeight="true" outlineLevel="0" collapsed="false">
      <c r="A14" s="30" t="s">
        <v>201</v>
      </c>
    </row>
    <row r="15" customFormat="false" ht="15" hidden="false" customHeight="true" outlineLevel="0" collapsed="false">
      <c r="A15" s="34" t="s">
        <v>202</v>
      </c>
      <c r="B15" s="8" t="n">
        <v>12</v>
      </c>
      <c r="C15" s="8" t="n">
        <v>22</v>
      </c>
      <c r="D15" s="8" t="n">
        <v>38</v>
      </c>
      <c r="E15" s="8" t="n">
        <v>60</v>
      </c>
      <c r="F15" s="8" t="n">
        <v>95</v>
      </c>
      <c r="G15" s="8" t="n">
        <v>140</v>
      </c>
      <c r="H15" s="8" t="n">
        <v>200</v>
      </c>
    </row>
    <row r="16" customFormat="false" ht="15" hidden="false" customHeight="true" outlineLevel="0" collapsed="false">
      <c r="A16" s="34" t="s">
        <v>203</v>
      </c>
      <c r="B16" s="8" t="n">
        <v>8</v>
      </c>
      <c r="C16" s="8" t="n">
        <v>18</v>
      </c>
      <c r="D16" s="8" t="n">
        <v>30</v>
      </c>
      <c r="E16" s="8" t="n">
        <v>50</v>
      </c>
      <c r="F16" s="8" t="n">
        <v>75</v>
      </c>
      <c r="G16" s="8" t="n">
        <v>110</v>
      </c>
      <c r="H16" s="8" t="n">
        <v>160</v>
      </c>
    </row>
    <row r="17" customFormat="false" ht="15" hidden="false" customHeight="true" outlineLevel="0" collapsed="false">
      <c r="A17" s="34" t="s">
        <v>204</v>
      </c>
      <c r="B17" s="8" t="n">
        <v>0</v>
      </c>
      <c r="C17" s="8" t="n">
        <v>150</v>
      </c>
      <c r="D17" s="8" t="n">
        <v>150</v>
      </c>
      <c r="E17" s="8" t="n">
        <v>150</v>
      </c>
      <c r="F17" s="8" t="n">
        <v>150</v>
      </c>
      <c r="G17" s="8" t="n">
        <v>150</v>
      </c>
      <c r="H17" s="8" t="n">
        <v>0</v>
      </c>
    </row>
    <row r="18" customFormat="false" ht="15" hidden="false" customHeight="true" outlineLevel="0" collapsed="false">
      <c r="A18" s="39" t="s">
        <v>205</v>
      </c>
      <c r="B18" s="40" t="n">
        <f aca="false">SUM(B15:B17)</f>
        <v>20</v>
      </c>
      <c r="C18" s="40" t="n">
        <f aca="false">SUM(C15:C17)</f>
        <v>190</v>
      </c>
      <c r="D18" s="40" t="n">
        <f aca="false">SUM(D15:D17)</f>
        <v>218</v>
      </c>
      <c r="E18" s="40" t="n">
        <f aca="false">SUM(E15:E17)</f>
        <v>260</v>
      </c>
      <c r="F18" s="40" t="n">
        <f aca="false">SUM(F15:F17)</f>
        <v>320</v>
      </c>
      <c r="G18" s="40" t="n">
        <f aca="false">SUM(G15:G17)</f>
        <v>400</v>
      </c>
      <c r="H18" s="40" t="n">
        <f aca="false">SUM(H15:H17)</f>
        <v>360</v>
      </c>
    </row>
    <row r="19" customFormat="false" ht="15" hidden="false" customHeight="true" outlineLevel="0" collapsed="false">
      <c r="A19" s="34" t="s">
        <v>206</v>
      </c>
      <c r="B19" s="36" t="n">
        <f aca="false">MAX(0,'3_Interest_Repayment'!I4/1000-B17)</f>
        <v>529.62</v>
      </c>
      <c r="C19" s="36" t="n">
        <f aca="false">MAX(0,'3_Interest_Repayment'!I5/1000-C17)</f>
        <v>571.08297</v>
      </c>
      <c r="D19" s="36" t="n">
        <f aca="false">MAX(0,'3_Interest_Repayment'!I6/1000-D17)</f>
        <v>426.866376</v>
      </c>
      <c r="E19" s="36" t="n">
        <f aca="false">MAX(0,'3_Interest_Repayment'!I7/1000-E17)</f>
        <v>282.649782</v>
      </c>
      <c r="F19" s="36" t="n">
        <f aca="false">MAX(0,'3_Interest_Repayment'!I8/1000-F17)</f>
        <v>138.433188</v>
      </c>
      <c r="G19" s="36" t="n">
        <f aca="false">MAX(0,'3_Interest_Repayment'!I9/1000-G17)</f>
        <v>0</v>
      </c>
      <c r="H19" s="36" t="n">
        <f aca="false">MAX(0,'3_Interest_Repayment'!I10/1000-H17)</f>
        <v>1.14596332423389E-013</v>
      </c>
    </row>
    <row r="20" customFormat="false" ht="15" hidden="false" customHeight="true" outlineLevel="0" collapsed="false">
      <c r="A20" s="39" t="s">
        <v>207</v>
      </c>
      <c r="B20" s="40" t="n">
        <f aca="false">B19</f>
        <v>529.62</v>
      </c>
      <c r="C20" s="40" t="n">
        <f aca="false">C19</f>
        <v>571.08297</v>
      </c>
      <c r="D20" s="40" t="n">
        <f aca="false">D19</f>
        <v>426.866376</v>
      </c>
      <c r="E20" s="40" t="n">
        <f aca="false">E19</f>
        <v>282.649782</v>
      </c>
      <c r="F20" s="40" t="n">
        <f aca="false">F19</f>
        <v>138.433188</v>
      </c>
      <c r="G20" s="40" t="n">
        <f aca="false">G19</f>
        <v>0</v>
      </c>
      <c r="H20" s="40" t="n">
        <f aca="false">H19</f>
        <v>1.14596332423389E-013</v>
      </c>
    </row>
    <row r="21" customFormat="false" ht="15" hidden="false" customHeight="true" outlineLevel="0" collapsed="false">
      <c r="A21" s="13" t="s">
        <v>208</v>
      </c>
      <c r="B21" s="37" t="n">
        <f aca="false">B18+B20</f>
        <v>549.62</v>
      </c>
      <c r="C21" s="37" t="n">
        <f aca="false">C18+C20</f>
        <v>761.08297</v>
      </c>
      <c r="D21" s="37" t="n">
        <f aca="false">D18+D20</f>
        <v>644.866376</v>
      </c>
      <c r="E21" s="37" t="n">
        <f aca="false">E18+E20</f>
        <v>542.649782</v>
      </c>
      <c r="F21" s="37" t="n">
        <f aca="false">F18+F20</f>
        <v>458.433188</v>
      </c>
      <c r="G21" s="37" t="n">
        <f aca="false">G18+G20</f>
        <v>400</v>
      </c>
      <c r="H21" s="37" t="n">
        <f aca="false">H18+H20</f>
        <v>360</v>
      </c>
    </row>
    <row r="23" customFormat="false" ht="15" hidden="false" customHeight="true" outlineLevel="0" collapsed="false">
      <c r="A23" s="30" t="s">
        <v>209</v>
      </c>
    </row>
    <row r="24" customFormat="false" ht="15" hidden="false" customHeight="true" outlineLevel="0" collapsed="false">
      <c r="A24" s="34" t="s">
        <v>210</v>
      </c>
      <c r="B24" s="8" t="n">
        <v>200</v>
      </c>
      <c r="C24" s="8" t="n">
        <v>1200</v>
      </c>
      <c r="D24" s="8" t="n">
        <v>1200</v>
      </c>
      <c r="E24" s="8" t="n">
        <v>1200</v>
      </c>
      <c r="F24" s="8" t="n">
        <v>1200</v>
      </c>
      <c r="G24" s="8" t="n">
        <v>1200</v>
      </c>
      <c r="H24" s="8" t="n">
        <v>1200</v>
      </c>
    </row>
    <row r="25" customFormat="false" ht="15" hidden="false" customHeight="true" outlineLevel="0" collapsed="false">
      <c r="A25" s="34" t="s">
        <v>211</v>
      </c>
      <c r="B25" s="35" t="n">
        <f aca="false">'4_PnL_Forecast'!B39</f>
        <v>-359.62</v>
      </c>
      <c r="C25" s="36" t="n">
        <f aca="false">B25+'4_PnL_Forecast'!C39</f>
        <v>-708.08297</v>
      </c>
      <c r="D25" s="36" t="n">
        <f aca="false">C25+'4_PnL_Forecast'!D39</f>
        <v>-769.44310978</v>
      </c>
      <c r="E25" s="36" t="n">
        <f aca="false">D25+'4_PnL_Forecast'!E39</f>
        <v>-116.709193648</v>
      </c>
      <c r="F25" s="36" t="n">
        <f aca="false">E25+'4_PnL_Forecast'!F39</f>
        <v>1679.528743451</v>
      </c>
      <c r="G25" s="36" t="n">
        <f aca="false">F25+'4_PnL_Forecast'!G39</f>
        <v>5419.520701517</v>
      </c>
      <c r="H25" s="36" t="n">
        <f aca="false">G25+'4_PnL_Forecast'!H39</f>
        <v>12185.51668055</v>
      </c>
    </row>
    <row r="26" customFormat="false" ht="15" hidden="false" customHeight="true" outlineLevel="0" collapsed="false">
      <c r="A26" s="11" t="s">
        <v>212</v>
      </c>
      <c r="B26" s="36" t="n">
        <f aca="false">B12-B21-B24-B25</f>
        <v>-120</v>
      </c>
      <c r="C26" s="36" t="n">
        <f aca="false">C12-C21-C24-C25</f>
        <v>-20</v>
      </c>
      <c r="D26" s="36" t="n">
        <f aca="false">D12-D21-D24-D25</f>
        <v>127</v>
      </c>
      <c r="E26" s="36" t="n">
        <f aca="false">E12-E21-E24-E25</f>
        <v>310</v>
      </c>
      <c r="F26" s="36" t="n">
        <f aca="false">F12-F21-F24-F25</f>
        <v>525</v>
      </c>
      <c r="G26" s="36" t="n">
        <f aca="false">G12-G21-G24-G25</f>
        <v>759.216594</v>
      </c>
      <c r="H26" s="36" t="n">
        <f aca="false">H12-H21-H24-H25</f>
        <v>1025</v>
      </c>
    </row>
    <row r="27" customFormat="false" ht="15" hidden="false" customHeight="true" outlineLevel="0" collapsed="false">
      <c r="A27" s="13" t="s">
        <v>213</v>
      </c>
      <c r="B27" s="37" t="n">
        <f aca="false">B24+B25+B26</f>
        <v>-279.62</v>
      </c>
      <c r="C27" s="37" t="n">
        <f aca="false">C24+C25+C26</f>
        <v>471.91703</v>
      </c>
      <c r="D27" s="37" t="n">
        <f aca="false">D24+D25+D26</f>
        <v>557.55689022</v>
      </c>
      <c r="E27" s="37" t="n">
        <f aca="false">E24+E25+E26</f>
        <v>1393.290806352</v>
      </c>
      <c r="F27" s="37" t="n">
        <f aca="false">F24+F25+F26</f>
        <v>3404.528743451</v>
      </c>
      <c r="G27" s="37" t="n">
        <f aca="false">G24+G25+G26</f>
        <v>7378.737295517</v>
      </c>
      <c r="H27" s="37" t="n">
        <f aca="false">H24+H25+H26</f>
        <v>14410.51668055</v>
      </c>
    </row>
    <row r="28" customFormat="false" ht="15" hidden="false" customHeight="true" outlineLevel="0" collapsed="false"/>
    <row r="29" customFormat="false" ht="15" hidden="false" customHeight="true" outlineLevel="0" collapsed="false">
      <c r="A29" s="13" t="s">
        <v>214</v>
      </c>
      <c r="B29" s="37" t="n">
        <f aca="false">B21+B27</f>
        <v>270</v>
      </c>
      <c r="C29" s="37" t="n">
        <f aca="false">C21+C27</f>
        <v>1233</v>
      </c>
      <c r="D29" s="37" t="n">
        <f aca="false">D21+D27</f>
        <v>1202.42326622</v>
      </c>
      <c r="E29" s="37" t="n">
        <f aca="false">E21+E27</f>
        <v>1935.940588352</v>
      </c>
      <c r="F29" s="37" t="n">
        <f aca="false">F21+F27</f>
        <v>3862.961931451</v>
      </c>
      <c r="G29" s="37" t="n">
        <f aca="false">G21+G27</f>
        <v>7778.737295517</v>
      </c>
      <c r="H29" s="37" t="n">
        <f aca="false">H21+H27</f>
        <v>14770.51668055</v>
      </c>
    </row>
    <row r="30" customFormat="false" ht="15" hidden="false" customHeight="true" outlineLevel="0" collapsed="false">
      <c r="A30" s="11" t="s">
        <v>215</v>
      </c>
      <c r="B30" s="36" t="n">
        <f aca="false">B12-B29</f>
        <v>0</v>
      </c>
      <c r="C30" s="36" t="n">
        <f aca="false">C12-C29</f>
        <v>0</v>
      </c>
      <c r="D30" s="36" t="n">
        <f aca="false">D12-D29</f>
        <v>0</v>
      </c>
      <c r="E30" s="36" t="n">
        <f aca="false">E12-E29</f>
        <v>0</v>
      </c>
      <c r="F30" s="36" t="n">
        <f aca="false">F12-F29</f>
        <v>0</v>
      </c>
      <c r="G30" s="36" t="n">
        <f aca="false">G12-G29</f>
        <v>0</v>
      </c>
      <c r="H30" s="36" t="n">
        <f aca="false">H12-H29</f>
        <v>0</v>
      </c>
    </row>
    <row r="31" customFormat="false" ht="15" hidden="false" customHeight="true" outlineLevel="0" collapsed="false"/>
    <row r="32" customFormat="false" ht="15" hidden="false" customHeight="true" outlineLevel="0" collapsed="false">
      <c r="A32" s="41" t="s">
        <v>216</v>
      </c>
      <c r="B32" s="42" t="n">
        <f aca="false">IFERROR(B8/B18,0)</f>
        <v>7</v>
      </c>
      <c r="C32" s="42" t="n">
        <f aca="false">IFERROR(C8/C18,0)</f>
        <v>5.12105263157895</v>
      </c>
      <c r="D32" s="42" t="n">
        <f aca="false">IFERROR(D8/D18,0)</f>
        <v>3.68084067073394</v>
      </c>
      <c r="E32" s="42" t="n">
        <f aca="false">IFERROR(E8/E18,0)</f>
        <v>5.25361764750769</v>
      </c>
      <c r="F32" s="42" t="n">
        <f aca="false">IFERROR(F8/F18,0)</f>
        <v>9.66550603578438</v>
      </c>
      <c r="G32" s="42" t="n">
        <f aca="false">IFERROR(G8/G18,0)</f>
        <v>16.9218432387925</v>
      </c>
      <c r="H32" s="42" t="n">
        <f aca="false">IFERROR(H8/H18,0)</f>
        <v>37.4181018904167</v>
      </c>
    </row>
    <row r="33" customFormat="false" ht="15" hidden="false" customHeight="true" outlineLevel="0" collapsed="false">
      <c r="A33" s="7" t="s">
        <v>217</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50"/>
    <col collapsed="false" customWidth="true" hidden="false" outlineLevel="0" max="2" min="2" style="1" width="14"/>
    <col collapsed="false" customWidth="true" hidden="false" outlineLevel="0" max="3" min="3" style="1" width="12"/>
    <col collapsed="false" customWidth="true" hidden="false" outlineLevel="0" max="4" min="4" style="1" width="50"/>
  </cols>
  <sheetData>
    <row r="1" customFormat="false" ht="21.75" hidden="false" customHeight="true" outlineLevel="0" collapsed="false">
      <c r="A1" s="5" t="s">
        <v>218</v>
      </c>
      <c r="B1" s="5"/>
      <c r="C1" s="5"/>
      <c r="D1" s="5"/>
      <c r="E1" s="5"/>
      <c r="F1" s="5"/>
    </row>
    <row r="3" customFormat="false" ht="15" hidden="false" customHeight="true" outlineLevel="0" collapsed="false">
      <c r="A3" s="19" t="s">
        <v>219</v>
      </c>
      <c r="B3" s="43" t="s">
        <v>220</v>
      </c>
      <c r="C3" s="43" t="s">
        <v>221</v>
      </c>
      <c r="D3" s="19" t="s">
        <v>222</v>
      </c>
    </row>
    <row r="4" customFormat="false" ht="15" hidden="false" customHeight="true" outlineLevel="0" collapsed="false">
      <c r="A4" s="14" t="s">
        <v>223</v>
      </c>
      <c r="B4" s="44" t="n">
        <v>672567</v>
      </c>
      <c r="C4" s="45" t="n">
        <f aca="false">B4/$B$12</f>
        <v>0.763788558962578</v>
      </c>
      <c r="D4" s="7" t="s">
        <v>224</v>
      </c>
    </row>
    <row r="5" customFormat="false" ht="15" hidden="false" customHeight="true" outlineLevel="0" collapsed="false">
      <c r="A5" s="14" t="s">
        <v>225</v>
      </c>
      <c r="B5" s="44" t="n">
        <v>50000</v>
      </c>
      <c r="C5" s="45" t="n">
        <f aca="false">B5/$B$12</f>
        <v>0.0567815964032266</v>
      </c>
      <c r="D5" s="7" t="s">
        <v>226</v>
      </c>
    </row>
    <row r="6" customFormat="false" ht="15" hidden="false" customHeight="true" outlineLevel="0" collapsed="false">
      <c r="A6" s="14" t="s">
        <v>62</v>
      </c>
      <c r="B6" s="44" t="n">
        <v>35000</v>
      </c>
      <c r="C6" s="45" t="n">
        <f aca="false">B6/$B$12</f>
        <v>0.0397471174822586</v>
      </c>
      <c r="D6" s="7" t="s">
        <v>227</v>
      </c>
    </row>
    <row r="7" customFormat="false" ht="15" hidden="false" customHeight="true" outlineLevel="0" collapsed="false">
      <c r="A7" s="14" t="s">
        <v>228</v>
      </c>
      <c r="B7" s="44" t="n">
        <v>25000</v>
      </c>
      <c r="C7" s="45" t="n">
        <f aca="false">B7/$B$12</f>
        <v>0.0283907982016133</v>
      </c>
      <c r="D7" s="7" t="s">
        <v>229</v>
      </c>
    </row>
    <row r="8" customFormat="false" ht="15" hidden="false" customHeight="true" outlineLevel="0" collapsed="false">
      <c r="A8" s="14" t="s">
        <v>230</v>
      </c>
      <c r="B8" s="44" t="n">
        <v>15000</v>
      </c>
      <c r="C8" s="45" t="n">
        <f aca="false">B8/$B$12</f>
        <v>0.017034478920968</v>
      </c>
      <c r="D8" s="7" t="s">
        <v>231</v>
      </c>
    </row>
    <row r="9" customFormat="false" ht="15" hidden="false" customHeight="true" outlineLevel="0" collapsed="false">
      <c r="A9" s="14" t="s">
        <v>65</v>
      </c>
      <c r="B9" s="44" t="n">
        <v>10000</v>
      </c>
      <c r="C9" s="45" t="n">
        <f aca="false">B9/$B$12</f>
        <v>0.0113563192806453</v>
      </c>
      <c r="D9" s="7" t="s">
        <v>232</v>
      </c>
    </row>
    <row r="10" customFormat="false" ht="15" hidden="false" customHeight="true" outlineLevel="0" collapsed="false">
      <c r="A10" s="14" t="s">
        <v>66</v>
      </c>
      <c r="B10" s="44" t="n">
        <v>8000</v>
      </c>
      <c r="C10" s="45" t="n">
        <f aca="false">B10/$B$12</f>
        <v>0.00908505542451625</v>
      </c>
      <c r="D10" s="7" t="s">
        <v>233</v>
      </c>
    </row>
    <row r="11" customFormat="false" ht="15" hidden="false" customHeight="true" outlineLevel="0" collapsed="false">
      <c r="A11" s="14" t="s">
        <v>234</v>
      </c>
      <c r="B11" s="44" t="n">
        <v>65000</v>
      </c>
      <c r="C11" s="45" t="n">
        <f aca="false">B11/$B$12</f>
        <v>0.0738160753241945</v>
      </c>
      <c r="D11" s="7" t="s">
        <v>235</v>
      </c>
    </row>
    <row r="12" customFormat="false" ht="15" hidden="false" customHeight="true" outlineLevel="0" collapsed="false">
      <c r="A12" s="19" t="s">
        <v>236</v>
      </c>
      <c r="B12" s="46" t="n">
        <f aca="false">SUM(B4:B11)</f>
        <v>880567</v>
      </c>
      <c r="C12" s="47" t="n">
        <f aca="false">SUM(C4:C11)</f>
        <v>1</v>
      </c>
      <c r="D12" s="7"/>
    </row>
    <row r="13" customFormat="false" ht="15" hidden="false" customHeight="true" outlineLevel="0" collapsed="false">
      <c r="A13" s="48"/>
      <c r="B13" s="49"/>
      <c r="C13" s="50"/>
    </row>
    <row r="14" customFormat="false" ht="15" hidden="false" customHeight="false" outlineLevel="0" collapsed="false">
      <c r="A14" s="51" t="s">
        <v>237</v>
      </c>
      <c r="B14" s="44" t="n">
        <v>700000</v>
      </c>
      <c r="C14" s="45" t="n">
        <f aca="false">B14/B12</f>
        <v>0.794942349645172</v>
      </c>
      <c r="D14" s="7" t="s">
        <v>238</v>
      </c>
    </row>
    <row r="15" customFormat="false" ht="15" hidden="false" customHeight="false" outlineLevel="0" collapsed="false">
      <c r="A15" s="51" t="s">
        <v>239</v>
      </c>
      <c r="B15" s="44" t="n">
        <v>190000</v>
      </c>
      <c r="D15" s="7" t="s">
        <v>240</v>
      </c>
    </row>
    <row r="16" customFormat="false" ht="15" hidden="false" customHeight="false" outlineLevel="0" collapsed="false">
      <c r="A16" s="19" t="s">
        <v>71</v>
      </c>
      <c r="B16" s="46" t="n">
        <f aca="false">B14+B15</f>
        <v>890000</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50"/>
    <col collapsed="false" customWidth="true" hidden="false" outlineLevel="0" max="8" min="2" style="1" width="14"/>
  </cols>
  <sheetData>
    <row r="1" customFormat="false" ht="30" hidden="false" customHeight="true" outlineLevel="0" collapsed="false">
      <c r="A1" s="2" t="s">
        <v>241</v>
      </c>
      <c r="B1" s="2"/>
      <c r="C1" s="2"/>
      <c r="D1" s="2"/>
      <c r="E1" s="2"/>
      <c r="F1" s="2"/>
      <c r="G1" s="2"/>
      <c r="H1" s="2"/>
      <c r="I1" s="2"/>
    </row>
    <row r="3" customFormat="false" ht="15" hidden="false" customHeight="true" outlineLevel="0" collapsed="false">
      <c r="A3" s="13" t="s">
        <v>242</v>
      </c>
      <c r="B3" s="23" t="s">
        <v>135</v>
      </c>
      <c r="C3" s="23" t="s">
        <v>136</v>
      </c>
      <c r="D3" s="23" t="s">
        <v>137</v>
      </c>
      <c r="E3" s="23" t="s">
        <v>138</v>
      </c>
      <c r="F3" s="23" t="s">
        <v>139</v>
      </c>
      <c r="G3" s="23" t="s">
        <v>140</v>
      </c>
      <c r="H3" s="23" t="s">
        <v>141</v>
      </c>
    </row>
    <row r="4" customFormat="false" ht="15" hidden="false" customHeight="true" outlineLevel="0" collapsed="false">
      <c r="A4" s="34" t="s">
        <v>243</v>
      </c>
      <c r="B4" s="35" t="n">
        <f aca="false">'4_PnL_Forecast'!B9</f>
        <v>50</v>
      </c>
      <c r="C4" s="35" t="n">
        <f aca="false">'4_PnL_Forecast'!C9</f>
        <v>380</v>
      </c>
      <c r="D4" s="35" t="n">
        <f aca="false">'4_PnL_Forecast'!D9</f>
        <v>1140</v>
      </c>
      <c r="E4" s="35" t="n">
        <f aca="false">'4_PnL_Forecast'!E9</f>
        <v>2800</v>
      </c>
      <c r="F4" s="35" t="n">
        <f aca="false">'4_PnL_Forecast'!F9</f>
        <v>5300</v>
      </c>
      <c r="G4" s="35" t="n">
        <f aca="false">'4_PnL_Forecast'!G9</f>
        <v>9050</v>
      </c>
      <c r="H4" s="35" t="n">
        <f aca="false">'4_PnL_Forecast'!H9</f>
        <v>14450</v>
      </c>
    </row>
    <row r="5" customFormat="false" ht="15" hidden="false" customHeight="true" outlineLevel="0" collapsed="false">
      <c r="A5" s="34" t="s">
        <v>244</v>
      </c>
      <c r="B5" s="52" t="s">
        <v>245</v>
      </c>
      <c r="C5" s="27" t="n">
        <f aca="false">IFERROR('4_PnL_Forecast'!C9/'4_PnL_Forecast'!B9-1,0)</f>
        <v>6.6</v>
      </c>
      <c r="D5" s="27" t="n">
        <f aca="false">IFERROR('4_PnL_Forecast'!D9/'4_PnL_Forecast'!C9-1,0)</f>
        <v>2</v>
      </c>
      <c r="E5" s="27" t="n">
        <f aca="false">IFERROR('4_PnL_Forecast'!E9/'4_PnL_Forecast'!D9-1,0)</f>
        <v>1.45614035087719</v>
      </c>
      <c r="F5" s="27" t="n">
        <f aca="false">IFERROR('4_PnL_Forecast'!F9/'4_PnL_Forecast'!E9-1,0)</f>
        <v>0.892857142857143</v>
      </c>
      <c r="G5" s="27" t="n">
        <f aca="false">IFERROR('4_PnL_Forecast'!G9/'4_PnL_Forecast'!F9-1,0)</f>
        <v>0.707547169811321</v>
      </c>
      <c r="H5" s="27" t="n">
        <f aca="false">IFERROR('4_PnL_Forecast'!H9/'4_PnL_Forecast'!G9-1,0)</f>
        <v>0.596685082872928</v>
      </c>
    </row>
    <row r="6" customFormat="false" ht="15" hidden="false" customHeight="true" outlineLevel="0" collapsed="false">
      <c r="A6" s="34" t="s">
        <v>154</v>
      </c>
      <c r="B6" s="27" t="n">
        <f aca="false">IFERROR('4_PnL_Forecast'!B17/'4_PnL_Forecast'!B9,0)</f>
        <v>-0.2</v>
      </c>
      <c r="C6" s="27" t="n">
        <f aca="false">IFERROR('4_PnL_Forecast'!C17/'4_PnL_Forecast'!C9,0)</f>
        <v>0.728947368421053</v>
      </c>
      <c r="D6" s="27" t="n">
        <f aca="false">IFERROR('4_PnL_Forecast'!D17/'4_PnL_Forecast'!D9,0)</f>
        <v>0.837719298245614</v>
      </c>
      <c r="E6" s="27" t="n">
        <f aca="false">IFERROR('4_PnL_Forecast'!E17/'4_PnL_Forecast'!E9,0)</f>
        <v>0.876785714285714</v>
      </c>
      <c r="F6" s="27" t="n">
        <f aca="false">IFERROR('4_PnL_Forecast'!F17/'4_PnL_Forecast'!F9,0)</f>
        <v>0.882075471698113</v>
      </c>
      <c r="G6" s="27" t="n">
        <f aca="false">IFERROR('4_PnL_Forecast'!G17/'4_PnL_Forecast'!G9,0)</f>
        <v>0.888397790055249</v>
      </c>
      <c r="H6" s="27" t="n">
        <f aca="false">IFERROR('4_PnL_Forecast'!H17/'4_PnL_Forecast'!H9,0)</f>
        <v>0.893425605536332</v>
      </c>
    </row>
    <row r="7" customFormat="false" ht="15" hidden="false" customHeight="true" outlineLevel="0" collapsed="false">
      <c r="A7" s="34" t="s">
        <v>166</v>
      </c>
      <c r="B7" s="27" t="n">
        <f aca="false">IFERROR('4_PnL_Forecast'!B31/'4_PnL_Forecast'!B9,0)</f>
        <v>-6.8</v>
      </c>
      <c r="C7" s="27" t="n">
        <f aca="false">IFERROR('4_PnL_Forecast'!C31/'4_PnL_Forecast'!C9,0)</f>
        <v>-0.807894736842105</v>
      </c>
      <c r="D7" s="27" t="n">
        <f aca="false">IFERROR('4_PnL_Forecast'!D31/'4_PnL_Forecast'!D9,0)</f>
        <v>0.0456140350877193</v>
      </c>
      <c r="E7" s="27" t="n">
        <f aca="false">IFERROR('4_PnL_Forecast'!E31/'4_PnL_Forecast'!E9,0)</f>
        <v>0.358214285714286</v>
      </c>
      <c r="F7" s="27" t="n">
        <f aca="false">IFERROR('4_PnL_Forecast'!F31/'4_PnL_Forecast'!F9,0)</f>
        <v>0.480566037735849</v>
      </c>
      <c r="G7" s="27" t="n">
        <f aca="false">IFERROR('4_PnL_Forecast'!G31/'4_PnL_Forecast'!G9,0)</f>
        <v>0.569944751381216</v>
      </c>
      <c r="H7" s="27" t="n">
        <f aca="false">IFERROR('4_PnL_Forecast'!H31/'4_PnL_Forecast'!H9,0)</f>
        <v>0.637508650519031</v>
      </c>
    </row>
    <row r="8" customFormat="false" ht="15" hidden="false" customHeight="true" outlineLevel="0" collapsed="false">
      <c r="A8" s="34" t="s">
        <v>246</v>
      </c>
      <c r="B8" s="35" t="n">
        <f aca="false">'5_Cashflow'!B23</f>
        <v>110</v>
      </c>
      <c r="C8" s="35" t="n">
        <f aca="false">'5_Cashflow'!C23</f>
        <v>908</v>
      </c>
      <c r="D8" s="35" t="n">
        <f aca="false">'5_Cashflow'!D23</f>
        <v>667.42326622</v>
      </c>
      <c r="E8" s="35" t="n">
        <f aca="false">'5_Cashflow'!E23</f>
        <v>1115.940588352</v>
      </c>
      <c r="F8" s="35" t="n">
        <f aca="false">'5_Cashflow'!F23</f>
        <v>2662.961931451</v>
      </c>
      <c r="G8" s="35" t="n">
        <f aca="false">'5_Cashflow'!G23</f>
        <v>6098.737295517</v>
      </c>
      <c r="H8" s="35" t="n">
        <f aca="false">'5_Cashflow'!H23</f>
        <v>12480.51668055</v>
      </c>
    </row>
    <row r="9" customFormat="false" ht="15" hidden="false" customHeight="true" outlineLevel="0" collapsed="false">
      <c r="A9" s="53" t="s">
        <v>247</v>
      </c>
      <c r="B9" s="54" t="n">
        <f aca="false">'6_Balance_Sheet'!B32</f>
        <v>7</v>
      </c>
      <c r="C9" s="54" t="n">
        <f aca="false">'6_Balance_Sheet'!C32</f>
        <v>5.12105263157895</v>
      </c>
      <c r="D9" s="54" t="n">
        <f aca="false">'6_Balance_Sheet'!D32</f>
        <v>3.68084067073394</v>
      </c>
      <c r="E9" s="54" t="n">
        <f aca="false">'6_Balance_Sheet'!E32</f>
        <v>5.25361764750769</v>
      </c>
      <c r="F9" s="54" t="n">
        <f aca="false">'6_Balance_Sheet'!F32</f>
        <v>9.66550603578438</v>
      </c>
      <c r="G9" s="54" t="n">
        <f aca="false">'6_Balance_Sheet'!G32</f>
        <v>16.9218432387925</v>
      </c>
      <c r="H9" s="54" t="n">
        <f aca="false">'6_Balance_Sheet'!H32</f>
        <v>37.4181018904167</v>
      </c>
    </row>
    <row r="10" customFormat="false" ht="15" hidden="false" customHeight="true" outlineLevel="0" collapsed="false">
      <c r="A10" s="34" t="s">
        <v>248</v>
      </c>
      <c r="B10" s="55" t="n">
        <f aca="false">IFERROR('4_PnL_Forecast'!B31/MAX(1,('3_Interest_Repayment'!G4+'3_Interest_Repayment'!H4)/1000),0)</f>
        <v>-340</v>
      </c>
      <c r="C10" s="55" t="n">
        <f aca="false">IFERROR('4_PnL_Forecast'!C31/MAX(1,('3_Interest_Repayment'!G5+'3_Interest_Repayment'!H5)/1000),0)</f>
        <v>-307</v>
      </c>
      <c r="D10" s="55" t="n">
        <f aca="false">IFERROR('4_PnL_Forecast'!D31/MAX(1,('3_Interest_Repayment'!G6+'3_Interest_Repayment'!H6)/1000),0)</f>
        <v>0.263188883656218</v>
      </c>
      <c r="E10" s="55" t="n">
        <f aca="false">IFERROR('4_PnL_Forecast'!E31/MAX(1,('3_Interest_Repayment'!G7+'3_Interest_Repayment'!H7)/1000),0)</f>
        <v>5.36637103693088</v>
      </c>
      <c r="F10" s="55" t="n">
        <f aca="false">IFERROR('4_PnL_Forecast'!F31/MAX(1,('3_Interest_Repayment'!G8+'3_Interest_Repayment'!H8)/1000),0)</f>
        <v>14.4524842430626</v>
      </c>
      <c r="G10" s="55" t="n">
        <f aca="false">IFERROR('4_PnL_Forecast'!G31/MAX(1,('3_Interest_Repayment'!G9+'3_Interest_Repayment'!H9)/1000),0)</f>
        <v>31.1547460265565</v>
      </c>
      <c r="H10" s="55" t="n">
        <f aca="false">IFERROR('4_PnL_Forecast'!H31/MAX(1,('3_Interest_Repayment'!G10+'3_Interest_Repayment'!H10)/1000),0)</f>
        <v>59.4749948941821</v>
      </c>
    </row>
    <row r="12" customFormat="false" ht="21.75" hidden="false" customHeight="true" outlineLevel="0" collapsed="false">
      <c r="A12" s="5" t="s">
        <v>249</v>
      </c>
      <c r="B12" s="5"/>
      <c r="C12" s="5"/>
      <c r="D12" s="5"/>
      <c r="E12" s="5"/>
      <c r="F12" s="5"/>
      <c r="G12" s="5"/>
      <c r="H12" s="5"/>
      <c r="I12" s="5"/>
    </row>
    <row r="13" customFormat="false" ht="15" hidden="false" customHeight="true" outlineLevel="0" collapsed="false">
      <c r="A13" s="34" t="s">
        <v>250</v>
      </c>
      <c r="B13" s="36" t="n">
        <f aca="false">'4_PnL_Forecast'!B9*0.7</f>
        <v>35</v>
      </c>
      <c r="C13" s="36" t="n">
        <f aca="false">'4_PnL_Forecast'!C9*0.7</f>
        <v>266</v>
      </c>
      <c r="D13" s="36" t="n">
        <f aca="false">'4_PnL_Forecast'!D9*0.7</f>
        <v>798</v>
      </c>
      <c r="E13" s="36" t="n">
        <f aca="false">'4_PnL_Forecast'!E9*0.7</f>
        <v>1960</v>
      </c>
      <c r="F13" s="36" t="n">
        <f aca="false">'4_PnL_Forecast'!F9*0.7</f>
        <v>3710</v>
      </c>
      <c r="G13" s="36" t="n">
        <f aca="false">'4_PnL_Forecast'!G9*0.7</f>
        <v>6335</v>
      </c>
      <c r="H13" s="36" t="n">
        <f aca="false">'4_PnL_Forecast'!H9*0.7</f>
        <v>10115</v>
      </c>
    </row>
    <row r="14" customFormat="false" ht="15" hidden="false" customHeight="true" outlineLevel="0" collapsed="false">
      <c r="A14" s="34" t="s">
        <v>251</v>
      </c>
      <c r="B14" s="36" t="n">
        <f aca="false">B13*IFERROR('4_PnL_Forecast'!B17/'4_PnL_Forecast'!B9,0)</f>
        <v>-7</v>
      </c>
      <c r="C14" s="36" t="n">
        <f aca="false">C13*IFERROR('4_PnL_Forecast'!C17/'4_PnL_Forecast'!C9,0)</f>
        <v>193.9</v>
      </c>
      <c r="D14" s="36" t="n">
        <f aca="false">D13*IFERROR('4_PnL_Forecast'!D17/'4_PnL_Forecast'!D9,0)</f>
        <v>668.5</v>
      </c>
      <c r="E14" s="36" t="n">
        <f aca="false">E13*IFERROR('4_PnL_Forecast'!E17/'4_PnL_Forecast'!E9,0)</f>
        <v>1718.5</v>
      </c>
      <c r="F14" s="36" t="n">
        <f aca="false">F13*IFERROR('4_PnL_Forecast'!F17/'4_PnL_Forecast'!F9,0)</f>
        <v>3272.5</v>
      </c>
      <c r="G14" s="36" t="n">
        <f aca="false">G13*IFERROR('4_PnL_Forecast'!G17/'4_PnL_Forecast'!G9,0)</f>
        <v>5628</v>
      </c>
      <c r="H14" s="36" t="n">
        <f aca="false">H13*IFERROR('4_PnL_Forecast'!H17/'4_PnL_Forecast'!H9,0)</f>
        <v>9037</v>
      </c>
    </row>
    <row r="15" customFormat="false" ht="15" hidden="false" customHeight="true" outlineLevel="0" collapsed="false">
      <c r="A15" s="3" t="s">
        <v>252</v>
      </c>
      <c r="B15" s="31" t="n">
        <f aca="false">B14-'4_PnL_Forecast'!B29</f>
        <v>-337</v>
      </c>
      <c r="C15" s="31" t="n">
        <f aca="false">C14-'4_PnL_Forecast'!C29</f>
        <v>-390.1</v>
      </c>
      <c r="D15" s="31" t="n">
        <f aca="false">D14-'4_PnL_Forecast'!D29</f>
        <v>-234.5</v>
      </c>
      <c r="E15" s="31" t="n">
        <f aca="false">E14-'4_PnL_Forecast'!E29</f>
        <v>266.5</v>
      </c>
      <c r="F15" s="31" t="n">
        <f aca="false">F14-'4_PnL_Forecast'!F29</f>
        <v>1144.5</v>
      </c>
      <c r="G15" s="31" t="n">
        <f aca="false">G14-'4_PnL_Forecast'!G29</f>
        <v>2746</v>
      </c>
      <c r="H15" s="31" t="n">
        <f aca="false">H14-'4_PnL_Forecast'!H29</f>
        <v>5339</v>
      </c>
    </row>
    <row r="16" customFormat="false" ht="15" hidden="false" customHeight="true" outlineLevel="0" collapsed="false">
      <c r="A16" s="3" t="s">
        <v>253</v>
      </c>
      <c r="B16" s="56" t="n">
        <f aca="false">IFERROR(B15/MAX(1,('3_Interest_Repayment'!G4+'3_Interest_Repayment'!H4)/1000),0)</f>
        <v>-337</v>
      </c>
      <c r="C16" s="56" t="n">
        <f aca="false">IFERROR(C15/MAX(1,('3_Interest_Repayment'!G5+'3_Interest_Repayment'!H5)/1000),0)</f>
        <v>-390.1</v>
      </c>
      <c r="D16" s="56" t="n">
        <f aca="false">IFERROR(D15/MAX(1,('3_Interest_Repayment'!G6+'3_Interest_Repayment'!H6)/1000),0)</f>
        <v>-1.18688063879583</v>
      </c>
      <c r="E16" s="56" t="n">
        <f aca="false">IFERROR(E15/MAX(1,('3_Interest_Repayment'!G7+'3_Interest_Repayment'!H7)/1000),0)</f>
        <v>1.42586030044076</v>
      </c>
      <c r="F16" s="56" t="n">
        <f aca="false">IFERROR(F15/MAX(1,('3_Interest_Repayment'!G8+'3_Interest_Repayment'!H8)/1000),0)</f>
        <v>6.49425528707702</v>
      </c>
      <c r="G16" s="56" t="n">
        <f aca="false">IFERROR(G15/MAX(1,('3_Interest_Repayment'!G9+'3_Interest_Repayment'!H9)/1000),0)</f>
        <v>16.5860668066933</v>
      </c>
      <c r="H16" s="56" t="n">
        <f aca="false">IFERROR(H15/MAX(1,('3_Interest_Repayment'!G10+'3_Interest_Repayment'!H10)/1000),0)</f>
        <v>34.4699302800736</v>
      </c>
    </row>
    <row r="18" customFormat="false" ht="21.75" hidden="false" customHeight="true" outlineLevel="0" collapsed="false">
      <c r="A18" s="5" t="s">
        <v>254</v>
      </c>
      <c r="B18" s="5"/>
      <c r="C18" s="5"/>
      <c r="D18" s="5"/>
      <c r="E18" s="5"/>
      <c r="F18" s="5"/>
      <c r="G18" s="5"/>
      <c r="H18" s="5"/>
      <c r="I18" s="5"/>
    </row>
    <row r="19" customFormat="false" ht="15" hidden="false" customHeight="true" outlineLevel="0" collapsed="false">
      <c r="A19" s="34" t="s">
        <v>255</v>
      </c>
      <c r="B19" s="57" t="n">
        <f aca="false">'1_Cover_Assumptions'!B51</f>
        <v>0.794942650565924</v>
      </c>
      <c r="D19" s="11" t="s">
        <v>256</v>
      </c>
    </row>
    <row r="20" customFormat="false" ht="15" hidden="false" customHeight="true" outlineLevel="0" collapsed="false">
      <c r="A20" s="34" t="s">
        <v>257</v>
      </c>
      <c r="B20" s="54" t="n">
        <f aca="false">MIN('6_Balance_Sheet'!B32:H32)</f>
        <v>3.68084067073394</v>
      </c>
      <c r="D20" s="11" t="s">
        <v>258</v>
      </c>
    </row>
  </sheetData>
  <mergeCells count="3">
    <mergeCell ref="A1:I1"/>
    <mergeCell ref="A12:I12"/>
    <mergeCell ref="A18:I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2026-05-09T12:58:55Z</dcterms:created>
  <dc:creator>openpyxl</dc:creator>
  <dc:description/>
  <dc:language>en-US</dc:language>
  <cp:lastModifiedBy/>
  <dcterms:modified xsi:type="dcterms:W3CDTF">2026-05-09T20:15:23Z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