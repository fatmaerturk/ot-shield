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<sst xmlns="http://schemas.openxmlformats.org/spreadsheetml/2006/main" count="292" uniqueCount="263">
  <si>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</si>
  <si>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</si>
  <si>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</si>
  <si>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</si>
  <si>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</si>
  <si>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</si>
  <si>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</si>
  <si>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</si>
  <si>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</si>
  <si>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</si>
  <si>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</si>
  <si>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</si>
  <si>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</si>
  <si>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Reference document: UKDI Defence Innovation Loan FY26/27 Cycle 1 Competition Doc (updated 14 Apr 2026)</t>
  </si>
  <si>
    <t xml:space="preserve">Loan Parameters (Cycle 1 published terms)</t>
  </si>
  <si>
    <t xml:space="preserve">Loan amount (£)</t>
  </si>
  <si>
    <t xml:space="preserve">Within Cycle 1 maximum (£1M); calibrated to lean delivery profile</t>
  </si>
  <si>
    <t xml:space="preserve">Project period (months)</t>
  </si>
  <si>
    <t xml:space="preserve">18-month commercialisation push; within Cycle 1 3-year cap</t>
  </si>
  <si>
    <t xml:space="preserve">Repayment period (months)</t>
  </si>
  <si>
    <t xml:space="preserve">5 years post-project; total term 6.5 yrs (within 7-yr cap)</t>
  </si>
  <si>
    <t xml:space="preserve">Project start (planned)</t>
  </si>
  <si>
    <t xml:space="preserve">01-Oct-2026</t>
  </si>
  <si>
    <t xml:space="preserve">Indicative; actual start follows Innovate UK Loans Ltd contract</t>
  </si>
  <si>
    <t xml:space="preserve">Project end (planned)</t>
  </si>
  <si>
    <t xml:space="preserve">31-Mar-2028</t>
  </si>
  <si>
    <t xml:space="preserve">Project end at month 18 (M18)</t>
  </si>
  <si>
    <t xml:space="preserve">Repayment start (planned)</t>
  </si>
  <si>
    <t xml:space="preserve">01-Apr-2028</t>
  </si>
  <si>
    <t xml:space="preserve">Repayment starts immediately after project (no deferred year)</t>
  </si>
  <si>
    <t xml:space="preserve">Repayment end (planned)</t>
  </si>
  <si>
    <t xml:space="preserve">31-Mar-2033</t>
  </si>
  <si>
    <t xml:space="preserve">Loan fully repaid; total term 6.5 years from project start</t>
  </si>
  <si>
    <t xml:space="preserve">Drawdown frequency</t>
  </si>
  <si>
    <t xml:space="preserve">Quarterly</t>
  </si>
  <si>
    <t xml:space="preserve">6 quarterly tranches over 18 months</t>
  </si>
  <si>
    <t xml:space="preserve">Interest rate - project period</t>
  </si>
  <si>
    <t xml:space="preserve">3.7% during 18-month project period (indicative; confirm at Stage 2)</t>
  </si>
  <si>
    <t xml:space="preserve">Interest rate - deferred (post-project, pre-repay)</t>
  </si>
  <si>
    <t xml:space="preserve">Per Competition Doc §5: 3.7% accrued and deferred until repayment (additional to quarterly interest paid)</t>
  </si>
  <si>
    <t xml:space="preserve">Interest rate - repayment period</t>
  </si>
  <si>
    <t xml:space="preserve">7.4% during 5-yr repayment (indicative; confirm at Stage 2)</t>
  </si>
  <si>
    <t xml:space="preserve">Subsidy Intensity &amp; Compliance Targets</t>
  </si>
  <si>
    <t xml:space="preserve">Subsidy intensity cap (small business per Competition Doc §9.1)</t>
  </si>
  <si>
    <t xml:space="preserve">Cycle 1 rule: small/micro SME = 45%; medium SME = 35%</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</si>
  <si>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</si>
  <si>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</si>
  <si>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</si>
  <si>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</si>
  <si>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</si>
  <si>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</si>
  <si>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</si>
  <si>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</si>
  <si>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</si>
  <si>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</si>
  <si>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</si>
  <si>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</si>
  <si>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</si>
  <si>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</si>
  <si>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</si>
  <si>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</si>
  <si>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</si>
  <si>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</si>
  <si>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</si>
  <si>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</si>
  <si>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</si>
  <si>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</si>
  <si>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</si>
  <si>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</si>
  <si>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</si>
  <si>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</si>
  <si>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</si>
  <si>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</si>
  <si>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FUNDING (Loan + Matched)</t>
  </si>
  <si>
    <t xml:space="preserve">Subsidy intensity (GGE / Total eligible costs)</t>
  </si>
  <si>
    <t xml:space="preserve">GGE estimate; Innovate UK Qualtrics portal calculates exact figure. Cap 45% (small/micro SME per Competition Doc §9.1)</t>
  </si>
  <si>
    <t xml:space="preserve">Compliance status (Competition Doc §9.1: small SME 45% cap)</t>
  </si>
  <si>
    <t xml:space="preserve">MATCHED FUNDING NOTE: Per Competition Document §15, no match funding is required for Defence Innovation Loans. However, we voluntarily structure £190K matched funding from a planned £1M VC follow-on round (UK cyber/defence VC, soft interest) to demonstrate strong external validation and de-risk the project. The VC round closes on the M9 commercialisation milestone trigger (signed first paying CNI customer). The Innovation Loan acts as catalyst capital that triggers this milestone. Project drawdown is gated on matched-funding confirmation; if VC round under-converts, fall-back pathways include R&amp;D tax credit advance, smaller angel round (£200-400k), or pilot revenue commitment.</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</si>
  <si>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</si>
  <si>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</si>
  <si>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</si>
  <si>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</si>
  <si>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</si>
  <si>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</si>
  <si>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</si>
  <si>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</si>
  <si>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</si>
  <si>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</si>
  <si>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</si>
  <si>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01-Jan-2027</t>
  </si>
  <si>
    <t xml:space="preserve">M6: deception telemetry → TAXII/MISP feed live</t>
  </si>
  <si>
    <t xml:space="preserve">Q3 (M7-M9)</t>
  </si>
  <si>
    <t xml:space="preserve">01-Apr-2027</t>
  </si>
  <si>
    <t xml:space="preserve">M9: first CNI lighthouse pilot (utility) signed</t>
  </si>
  <si>
    <t xml:space="preserve">Q4 (M10-M12)</t>
  </si>
  <si>
    <t xml:space="preserve">01-Jul-2027</t>
  </si>
  <si>
    <t xml:space="preserve">M12: 3 CNI pilots running, IEC 62443 stage gate</t>
  </si>
  <si>
    <t xml:space="preserve">Q5 (M13-M15)</t>
  </si>
  <si>
    <t xml:space="preserve">01-Oct-2027</t>
  </si>
  <si>
    <t xml:space="preserve">M15: 1st defence reference environment live</t>
  </si>
  <si>
    <t xml:space="preserve">Q6 (M16-M18)</t>
  </si>
  <si>
    <t xml:space="preserve">01-Jan-2028</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</si>
  <si>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</si>
  <si>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</si>
  <si>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</si>
  <si>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</si>
  <si>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</si>
  <si>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</si>
  <si>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</si>
  <si>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</si>
  <si>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</si>
  <si>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</si>
  <si>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</si>
  <si>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</si>
  <si>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Oct26-Sep27</t>
  </si>
  <si>
    <t xml:space="preserve">Project (Yr1)</t>
  </si>
  <si>
    <t xml:space="preserve">Y2 Oct27-Mar28</t>
  </si>
  <si>
    <t xml:space="preserve">Project (Yr2 H1)</t>
  </si>
  <si>
    <t xml:space="preserve">Repay Y1 (Apr28-Mar29)</t>
  </si>
  <si>
    <t xml:space="preserve">Repayment Yr1</t>
  </si>
  <si>
    <t xml:space="preserve">Repay Y2 (Apr29-Mar30)</t>
  </si>
  <si>
    <t xml:space="preserve">Repayment Yr2</t>
  </si>
  <si>
    <t xml:space="preserve">Repay Y3 (Apr30-Mar31)</t>
  </si>
  <si>
    <t xml:space="preserve">Repayment Yr3</t>
  </si>
  <si>
    <t xml:space="preserve">Repay Y4 (Apr31-Mar32)</t>
  </si>
  <si>
    <t xml:space="preserve">Repayment Yr4</t>
  </si>
  <si>
    <t xml:space="preserve">Repay Y5 (Apr32-Mar33)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</si>
  <si>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</si>
  <si>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</si>
  <si>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</si>
  <si>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</si>
  <si>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Mar 2028 (M18). Repayment starts 01 Apr 2028 (no deferred gap year in this plan).</t>
  </si>
  <si>
    <t xml:space="preserve">3) Equal annual principal repayment ~£144,217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</si>
  <si>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</si>
  <si>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</si>
  <si>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</si>
  <si>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</si>
  <si>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</si>
  <si>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</si>
  <si>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</si>
  <si>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</si>
  <si>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</si>
  <si>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</si>
  <si>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</si>
  <si>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</si>
  <si>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</si>
  <si>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</si>
  <si>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</si>
  <si>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</si>
  <si>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</si>
  <si>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</si>
  <si>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</si>
  <si>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</si>
  <si>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</si>
  <si>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</si>
  <si>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</si>
  <si>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</si>
  <si>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</si>
  <si>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</si>
  <si>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</si>
  <si>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</si>
  <si>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</si>
  <si>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</si>
  <si>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</si>
  <si>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</si>
  <si>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</si>
  <si>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</si>
  <si>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</si>
  <si>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</si>
  <si>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</si>
  <si>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</si>
  <si>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</si>
  <si>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</si>
  <si>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</si>
  <si>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</si>
  <si>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</si>
  <si>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</si>
  <si>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</si>
  <si>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</si>
  <si>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</si>
  <si>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</si>
  <si>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</si>
  <si>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</si>
  <si>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</si>
  <si>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</si>
  <si>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</si>
  <si>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</si>
  <si>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</si>
  <si>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</si>
  <si>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</si>
  <si>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</si>
  <si>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</si>
  <si>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</si>
  <si>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</si>
  <si>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</si>
  <si>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</si>
  <si>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</si>
  <si>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</si>
  <si>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</si>
  <si>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</si>
  <si>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</si>
  <si>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</si>
  <si>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</si>
  <si>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</si>
  <si>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</si>
  <si>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</si>
  <si>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(excluded per Competition Doc §15: loan is long-term liability)</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</si>
  <si>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</si>
  <si>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</si>
  <si>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</si>
  <si>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</si>
  <si>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</si>
  <si>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</si>
  <si>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</si>
  <si>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</si>
  <si>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</si>
  <si>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</si>
  <si>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</si>
  <si>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</si>
  <si>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</si>
  <si>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Note: Per Competition Doc §15 Q&amp;A, the loan principal is a long-term liability and EXCLUDED from liquidity ratio. Innovate UK target ≥ 1.10:1 throughout project.</t>
  </si>
  <si>
    <t xml:space="preserve">Use of £700K Loan against £880,567 Eligible Project Cost</t>
  </si>
  <si>
    <t xml:space="preserve">Category</t>
  </si>
  <si>
    <t xml:space="preserve">£</t>
  </si>
  <si>
    <t xml:space="preserve">% of total</t>
  </si>
  <si>
    <t xml:space="preserve">Notes</t>
  </si>
  <si>
    <t xml:space="preserve">Personnel - internal team (7 named members, 4.2 FTE-equivalent)</t>
  </si>
  <si>
    <t xml:space="preserve">6 existing members + 1 senior hire (CTO, M1-M3 onboarding)</t>
  </si>
  <si>
    <t xml:space="preserve">Cloud / sovereign UK lab infrastructure</t>
  </si>
  <si>
    <t xml:space="preserve">UK-sovereign cloud + telemetry + threat-intel feed infrastructure</t>
  </si>
  <si>
    <t xml:space="preserve">Multi-vendor protocol coverage</t>
  </si>
  <si>
    <t xml:space="preserve">Pen-test / IEC 62443 assurance (CREST-certified)</t>
  </si>
  <si>
    <t xml:space="preserve">Stage-gated assurance M6 / M12 / M18</t>
  </si>
  <si>
    <t xml:space="preserve">Travel &amp; customer pilots</t>
  </si>
  <si>
    <t xml:space="preserve">5 UK CNI lighthouses + 2 defence reference engagements</t>
  </si>
  <si>
    <t xml:space="preserve">UK + select international filings</t>
  </si>
  <si>
    <t xml:space="preserve">UK GDPR / NIS-aligned</t>
  </si>
  <si>
    <t xml:space="preserve">Contingency (~7.4%)</t>
  </si>
  <si>
    <t xml:space="preserve">Standard Cycle 1 contingency</t>
  </si>
  <si>
    <t xml:space="preserve">TOTAL ELIGIBLE PROJECT COST</t>
  </si>
  <si>
    <t xml:space="preserve">Innovate UK Loan request</t>
  </si>
  <si>
    <t xml:space="preserve">Subsidy intensity (loan / eligible cost) - target ≤ 80%</t>
  </si>
  <si>
    <t xml:space="preserve">Matched funding (VC follow-on round £1M, soft interest)</t>
  </si>
  <si>
    <t xml:space="preserve">£190K of £1M VC round; M9 trigger</t>
  </si>
  <si>
    <t xml:space="preserve">TOTAL PROJECT FINANCING (loan + matched)</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</si>
  <si>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</si>
  <si>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</si>
  <si>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</si>
  <si>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</si>
  <si>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</si>
  <si>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</si>
  <si>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</si>
  <si>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</si>
  <si>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</si>
  <si>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</si>
  <si>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</si>
  <si>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</si>
  <si>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</si>
  <si>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</si>
  <si>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(GGE / total eligible cost)</t>
  </si>
  <si>
    <t xml:space="preserve">Target ≤ 45% (small business per Competition Doc §9.1)</t>
  </si>
  <si>
    <t xml:space="preserve">Min liquidity ratio across project (Y1-Y3)</t>
  </si>
  <si>
    <t xml:space="preserve">Target ≥ 1.10</t>
  </si>
</sst>
</file>

<file path=xl/styles.xml><?xml version="1.0" encoding="utf-8"?>
<styleSheet xmlns="http://schemas.openxmlformats.org/spreadsheetml/2006/main">
  <numFmts count="10">
    <numFmt numFmtId="164" formatCode="General"/>
    <numFmt numFmtId="165" formatCode="\£#,##0;&quot;(£&quot;#,##0\);\-"/>
    <numFmt numFmtId="166" formatCode="#,##0;\(#,##0\);\-"/>
    <numFmt numFmtId="167" formatCode="0.0%;\(0.0%\);\-"/>
    <numFmt numFmtId="168" formatCode="0.00"/>
    <numFmt numFmtId="169" formatCode="0.0"/>
    <numFmt numFmtId="170" formatCode="0"/>
    <numFmt numFmtId="171" formatCode="0.00%"/>
    <numFmt numFmtId="172" formatCode="0.0%"/>
    <numFmt numFmtId="173"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i val="true"/>
      <sz val="9"/>
      <color rgb="FF555555"/>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5" fontId="8"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8"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8"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4" fontId="8" fillId="2" borderId="0" xfId="0" applyFont="true" applyBorder="false" applyAlignment="true" applyProtection="false">
      <alignment horizontal="right" vertical="center" textRotation="0" wrapText="false" indent="0" shrinkToFit="false"/>
      <protection locked="true" hidden="false"/>
    </xf>
    <xf numFmtId="172" fontId="9" fillId="0" borderId="0" xfId="0" applyFont="true" applyBorder="false" applyAlignment="true" applyProtection="false">
      <alignment horizontal="right" vertical="center" textRotation="0" wrapText="false" indent="0" shrinkToFit="false"/>
      <protection locked="true" hidden="false"/>
    </xf>
    <xf numFmtId="172" fontId="8"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7" fontId="8"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3"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9" customFormat="false" ht="21.75" hidden="false" customHeight="true" outlineLevel="0" collapsed="false">
      <c r="A9" s="5" t="s">
        <v>13</v>
      </c>
    </row>
    <row r="10" customFormat="false" ht="21.75" hidden="false" customHeight="true" outlineLevel="0" collapsed="false">
      <c r="A10" s="6" t="s">
        <v>14</v>
      </c>
      <c r="B10" s="6"/>
      <c r="C10" s="6"/>
      <c r="D10" s="6"/>
      <c r="E10" s="6"/>
      <c r="F10" s="6"/>
    </row>
    <row r="11" customFormat="false" ht="15" hidden="false" customHeight="true" outlineLevel="0" collapsed="false">
      <c r="A11" s="3" t="s">
        <v>15</v>
      </c>
      <c r="B11" s="7" t="n">
        <v>700000</v>
      </c>
      <c r="D11" s="5" t="s">
        <v>16</v>
      </c>
    </row>
    <row r="12" customFormat="false" ht="21.75" hidden="false" customHeight="true" outlineLevel="0" collapsed="false">
      <c r="A12" s="3" t="s">
        <v>17</v>
      </c>
      <c r="B12" s="8" t="n">
        <v>18</v>
      </c>
      <c r="D12" s="5" t="s">
        <v>18</v>
      </c>
    </row>
    <row r="13" customFormat="false" ht="15" hidden="false" customHeight="true" outlineLevel="0" collapsed="false">
      <c r="A13" s="3" t="s">
        <v>19</v>
      </c>
      <c r="B13" s="8" t="n">
        <v>60</v>
      </c>
      <c r="D13" s="5" t="s">
        <v>20</v>
      </c>
    </row>
    <row r="14" customFormat="false" ht="15" hidden="false" customHeight="true" outlineLevel="0" collapsed="false">
      <c r="A14" s="3" t="s">
        <v>21</v>
      </c>
      <c r="B14" s="9" t="s">
        <v>22</v>
      </c>
      <c r="D14" s="5" t="s">
        <v>23</v>
      </c>
    </row>
    <row r="15" customFormat="false" ht="15" hidden="false" customHeight="true" outlineLevel="0" collapsed="false">
      <c r="A15" s="3" t="s">
        <v>24</v>
      </c>
      <c r="B15" s="9" t="s">
        <v>25</v>
      </c>
      <c r="D15" s="5" t="s">
        <v>26</v>
      </c>
    </row>
    <row r="16" customFormat="false" ht="15" hidden="false" customHeight="true" outlineLevel="0" collapsed="false">
      <c r="A16" s="3" t="s">
        <v>27</v>
      </c>
      <c r="B16" s="9" t="s">
        <v>28</v>
      </c>
      <c r="D16" s="5" t="s">
        <v>29</v>
      </c>
    </row>
    <row r="17" customFormat="false" ht="15" hidden="false" customHeight="true" outlineLevel="0" collapsed="false">
      <c r="A17" s="3" t="s">
        <v>30</v>
      </c>
      <c r="B17" s="9" t="s">
        <v>31</v>
      </c>
      <c r="D17" s="5" t="s">
        <v>32</v>
      </c>
    </row>
    <row r="18" customFormat="false" ht="21.75" hidden="false" customHeight="true" outlineLevel="0" collapsed="false">
      <c r="A18" s="3" t="s">
        <v>33</v>
      </c>
      <c r="B18" s="9" t="s">
        <v>34</v>
      </c>
      <c r="D18" s="5" t="s">
        <v>35</v>
      </c>
    </row>
    <row r="19" customFormat="false" ht="15" hidden="false" customHeight="true" outlineLevel="0" collapsed="false">
      <c r="A19" s="3" t="s">
        <v>36</v>
      </c>
      <c r="B19" s="10" t="n">
        <v>0.037</v>
      </c>
      <c r="D19" s="5" t="s">
        <v>37</v>
      </c>
    </row>
    <row r="20" customFormat="false" ht="15" hidden="false" customHeight="true" outlineLevel="0" collapsed="false">
      <c r="A20" s="3" t="s">
        <v>38</v>
      </c>
      <c r="B20" s="10" t="n">
        <v>0.037</v>
      </c>
      <c r="D20" s="5" t="s">
        <v>39</v>
      </c>
    </row>
    <row r="21" customFormat="false" ht="15" hidden="false" customHeight="true" outlineLevel="0" collapsed="false">
      <c r="A21" s="3" t="s">
        <v>40</v>
      </c>
      <c r="B21" s="10" t="n">
        <v>0.074</v>
      </c>
      <c r="D21" s="5" t="s">
        <v>41</v>
      </c>
    </row>
    <row r="22" customFormat="false" ht="21.75" hidden="false" customHeight="true" outlineLevel="0" collapsed="false">
      <c r="A22" s="6" t="s">
        <v>42</v>
      </c>
      <c r="B22" s="6"/>
      <c r="C22" s="6"/>
      <c r="D22" s="6"/>
      <c r="E22" s="6"/>
      <c r="F22" s="6"/>
    </row>
    <row r="23" customFormat="false" ht="15" hidden="false" customHeight="true" outlineLevel="0" collapsed="false">
      <c r="A23" s="3" t="s">
        <v>43</v>
      </c>
      <c r="B23" s="10" t="n">
        <v>0.45</v>
      </c>
      <c r="D23" s="11" t="s">
        <v>44</v>
      </c>
    </row>
    <row r="24" customFormat="false" ht="15" hidden="false" customHeight="true" outlineLevel="0" collapsed="false">
      <c r="A24" s="3" t="s">
        <v>45</v>
      </c>
      <c r="B24" s="12" t="n">
        <v>1.1</v>
      </c>
      <c r="D24" s="11" t="s">
        <v>46</v>
      </c>
    </row>
    <row r="25" customFormat="false" ht="21.75" hidden="false" customHeight="true" outlineLevel="0" collapsed="false">
      <c r="A25" s="6" t="s">
        <v>47</v>
      </c>
      <c r="B25" s="6"/>
      <c r="C25" s="6"/>
      <c r="D25" s="6"/>
      <c r="E25" s="6"/>
      <c r="F25" s="6"/>
    </row>
    <row r="26" customFormat="false" ht="15" hidden="false" customHeight="true" outlineLevel="0" collapsed="false">
      <c r="A26" s="13" t="s">
        <v>48</v>
      </c>
      <c r="B26" s="13" t="s">
        <v>49</v>
      </c>
      <c r="C26" s="13" t="s">
        <v>50</v>
      </c>
      <c r="D26" s="13" t="s">
        <v>51</v>
      </c>
      <c r="E26" s="13" t="s">
        <v>52</v>
      </c>
    </row>
    <row r="27" customFormat="false" ht="15" hidden="false" customHeight="true" outlineLevel="0" collapsed="false">
      <c r="A27" s="14" t="s">
        <v>53</v>
      </c>
      <c r="B27" s="7" t="n">
        <v>120000</v>
      </c>
      <c r="C27" s="15" t="n">
        <v>1</v>
      </c>
      <c r="D27" s="16" t="n">
        <v>18</v>
      </c>
      <c r="E27" s="17" t="n">
        <f aca="false">B27*C27*D27/12</f>
        <v>180000</v>
      </c>
    </row>
    <row r="28" customFormat="false" ht="15" hidden="false" customHeight="true" outlineLevel="0" collapsed="false">
      <c r="A28" s="14" t="s">
        <v>54</v>
      </c>
      <c r="B28" s="7" t="n">
        <v>110000</v>
      </c>
      <c r="C28" s="15" t="n">
        <v>1</v>
      </c>
      <c r="D28" s="16" t="n">
        <v>16</v>
      </c>
      <c r="E28" s="17" t="n">
        <f aca="false">B28*C28*D28/12</f>
        <v>146666.666666667</v>
      </c>
    </row>
    <row r="29" customFormat="false" ht="15" hidden="false" customHeight="true" outlineLevel="0" collapsed="false">
      <c r="A29" s="14" t="s">
        <v>55</v>
      </c>
      <c r="B29" s="7" t="n">
        <v>208000</v>
      </c>
      <c r="C29" s="15" t="n">
        <v>0.2</v>
      </c>
      <c r="D29" s="16" t="n">
        <v>18</v>
      </c>
      <c r="E29" s="17" t="n">
        <f aca="false">B29*C29*D29/12</f>
        <v>62400</v>
      </c>
    </row>
    <row r="30" customFormat="false" ht="15" hidden="false" customHeight="true" outlineLevel="0" collapsed="false">
      <c r="A30" s="14" t="s">
        <v>56</v>
      </c>
      <c r="B30" s="7" t="n">
        <v>132000</v>
      </c>
      <c r="C30" s="15" t="n">
        <v>0.5</v>
      </c>
      <c r="D30" s="16" t="n">
        <v>18</v>
      </c>
      <c r="E30" s="17" t="n">
        <f aca="false">B30*C30*D30/12</f>
        <v>99000</v>
      </c>
    </row>
    <row r="31" customFormat="false" ht="15" hidden="false" customHeight="true" outlineLevel="0" collapsed="false">
      <c r="A31" s="14" t="s">
        <v>57</v>
      </c>
      <c r="B31" s="7" t="n">
        <v>110000</v>
      </c>
      <c r="C31" s="15" t="n">
        <v>0.5</v>
      </c>
      <c r="D31" s="16" t="n">
        <v>18</v>
      </c>
      <c r="E31" s="17" t="n">
        <f aca="false">B31*C31*D31/12</f>
        <v>82500</v>
      </c>
    </row>
    <row r="32" customFormat="false" ht="15" hidden="false" customHeight="true" outlineLevel="0" collapsed="false">
      <c r="A32" s="14" t="s">
        <v>58</v>
      </c>
      <c r="B32" s="7" t="n">
        <v>35000</v>
      </c>
      <c r="C32" s="15" t="n">
        <v>1</v>
      </c>
      <c r="D32" s="16" t="n">
        <v>18</v>
      </c>
      <c r="E32" s="17" t="n">
        <f aca="false">B32*C32*D32/12</f>
        <v>52500</v>
      </c>
      <c r="F32" s="5"/>
    </row>
    <row r="33" customFormat="false" ht="15" hidden="false" customHeight="true" outlineLevel="0" collapsed="false">
      <c r="A33" s="14" t="s">
        <v>59</v>
      </c>
      <c r="B33" s="7" t="n">
        <v>33000</v>
      </c>
      <c r="C33" s="15" t="n">
        <v>1</v>
      </c>
      <c r="D33" s="16" t="n">
        <v>18</v>
      </c>
      <c r="E33" s="17" t="n">
        <f aca="false">B33*C33*D33/12</f>
        <v>49500</v>
      </c>
      <c r="F33" s="5"/>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7" t="n">
        <v>50000</v>
      </c>
    </row>
    <row r="39" customFormat="false" ht="21.75" hidden="false" customHeight="true" outlineLevel="0" collapsed="false">
      <c r="A39" s="14" t="s">
        <v>64</v>
      </c>
      <c r="E39" s="7" t="n">
        <v>35000</v>
      </c>
    </row>
    <row r="40" customFormat="false" ht="15" hidden="false" customHeight="true" outlineLevel="0" collapsed="false">
      <c r="A40" s="14" t="s">
        <v>65</v>
      </c>
      <c r="E40" s="7" t="n">
        <v>25000</v>
      </c>
    </row>
    <row r="41" customFormat="false" ht="15" hidden="false" customHeight="true" outlineLevel="0" collapsed="false">
      <c r="A41" s="14" t="s">
        <v>66</v>
      </c>
      <c r="E41" s="7" t="n">
        <v>15000</v>
      </c>
    </row>
    <row r="42" customFormat="false" ht="15" hidden="false" customHeight="true" outlineLevel="0" collapsed="false">
      <c r="A42" s="14" t="s">
        <v>67</v>
      </c>
      <c r="E42" s="7" t="n">
        <v>10000</v>
      </c>
    </row>
    <row r="43" customFormat="false" ht="15" hidden="false" customHeight="true" outlineLevel="0" collapsed="false">
      <c r="A43" s="14" t="s">
        <v>68</v>
      </c>
      <c r="E43" s="7" t="n">
        <v>8000</v>
      </c>
    </row>
    <row r="44" customFormat="false" ht="15" hidden="false" customHeight="true" outlineLevel="0" collapsed="false">
      <c r="A44" s="14" t="s">
        <v>69</v>
      </c>
      <c r="E44" s="7" t="n">
        <v>65000</v>
      </c>
    </row>
    <row r="45" customFormat="false" ht="15" hidden="false" customHeight="true" outlineLevel="0" collapsed="false">
      <c r="A45" s="3" t="s">
        <v>70</v>
      </c>
      <c r="E45" s="18" t="n">
        <f aca="false">SUM(E38:E44)</f>
        <v>208000</v>
      </c>
    </row>
    <row r="46" customFormat="false" ht="15" hidden="false" customHeight="true" outlineLevel="0" collapsed="false">
      <c r="A46" s="5"/>
    </row>
    <row r="47" customFormat="false" ht="15" hidden="false" customHeight="true" outlineLevel="0" collapsed="false">
      <c r="A47" s="13" t="s">
        <v>71</v>
      </c>
      <c r="E47" s="20" t="n">
        <f aca="false">E34+E45</f>
        <v>880566.666666667</v>
      </c>
    </row>
    <row r="48" customFormat="false" ht="15" hidden="false" customHeight="true" outlineLevel="0" collapsed="false">
      <c r="A48" s="14" t="s">
        <v>72</v>
      </c>
      <c r="E48" s="7" t="n">
        <v>190000</v>
      </c>
    </row>
    <row r="49" customFormat="false" ht="37.5" hidden="false" customHeight="true" outlineLevel="0" collapsed="false">
      <c r="A49" s="13" t="s">
        <v>73</v>
      </c>
      <c r="E49" s="20" t="n">
        <f aca="false">B11+E48</f>
        <v>890000</v>
      </c>
    </row>
    <row r="50" customFormat="false" ht="15" hidden="false" customHeight="true" outlineLevel="0" collapsed="false"/>
    <row r="51" customFormat="false" ht="15" hidden="false" customHeight="true" outlineLevel="0" collapsed="false">
      <c r="A51" s="3" t="s">
        <v>74</v>
      </c>
      <c r="B51" s="21" t="n">
        <f aca="false">(B11*0.15)/E47</f>
        <v>0.119241397584889</v>
      </c>
      <c r="D51" s="11" t="s">
        <v>75</v>
      </c>
    </row>
    <row r="52" customFormat="false" ht="15" hidden="false" customHeight="true" outlineLevel="0" collapsed="false">
      <c r="A52" s="5"/>
    </row>
    <row r="53" customFormat="false" ht="15" hidden="false" customHeight="true" outlineLevel="0" collapsed="false">
      <c r="A53" s="3" t="s">
        <v>76</v>
      </c>
      <c r="B53" s="1" t="str">
        <f aca="false">IF(B51&lt;=0.45,"COMPLIANT","REVIEW")</f>
        <v>COMPLIANT</v>
      </c>
    </row>
    <row r="54" customFormat="false" ht="15" hidden="false" customHeight="true" outlineLevel="0" collapsed="false"/>
    <row r="55" customFormat="false" ht="99.75" hidden="false" customHeight="true" outlineLevel="0" collapsed="false">
      <c r="A55" s="22" t="s">
        <v>77</v>
      </c>
      <c r="B55" s="22"/>
      <c r="C55" s="22"/>
      <c r="D55" s="22"/>
      <c r="E55" s="22"/>
      <c r="F55" s="22"/>
    </row>
    <row r="56" customFormat="false" ht="37.5" hidden="false" customHeight="true" outlineLevel="0" collapsed="false"/>
    <row r="57" customFormat="false" ht="79.5" hidden="false" customHeight="true" outlineLevel="0" collapsed="false">
      <c r="A57" s="22" t="s">
        <v>78</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79</v>
      </c>
      <c r="B1" s="2"/>
      <c r="C1" s="2"/>
      <c r="D1" s="2"/>
      <c r="E1" s="2"/>
      <c r="F1" s="2"/>
      <c r="G1" s="2"/>
      <c r="H1" s="2"/>
    </row>
    <row r="3" customFormat="false" ht="15" hidden="false" customHeight="true" outlineLevel="0" collapsed="false">
      <c r="A3" s="23" t="s">
        <v>80</v>
      </c>
      <c r="B3" s="23" t="s">
        <v>81</v>
      </c>
      <c r="C3" s="23" t="s">
        <v>82</v>
      </c>
      <c r="D3" s="23" t="s">
        <v>83</v>
      </c>
      <c r="E3" s="23" t="s">
        <v>84</v>
      </c>
      <c r="F3" s="23" t="s">
        <v>85</v>
      </c>
    </row>
    <row r="4" customFormat="false" ht="15" hidden="false" customHeight="true" outlineLevel="0" collapsed="false">
      <c r="A4" s="24" t="n">
        <v>1</v>
      </c>
      <c r="B4" s="24" t="s">
        <v>86</v>
      </c>
      <c r="C4" s="25" t="s">
        <v>22</v>
      </c>
      <c r="D4" s="7" t="n">
        <v>140000</v>
      </c>
      <c r="E4" s="17" t="n">
        <f aca="false">D4</f>
        <v>140000</v>
      </c>
      <c r="F4" s="14" t="s">
        <v>87</v>
      </c>
    </row>
    <row r="5" customFormat="false" ht="15" hidden="false" customHeight="true" outlineLevel="0" collapsed="false">
      <c r="A5" s="24" t="n">
        <v>2</v>
      </c>
      <c r="B5" s="24" t="s">
        <v>88</v>
      </c>
      <c r="C5" s="25" t="s">
        <v>89</v>
      </c>
      <c r="D5" s="7" t="n">
        <v>140000</v>
      </c>
      <c r="E5" s="17" t="n">
        <f aca="false">E4+D5</f>
        <v>280000</v>
      </c>
      <c r="F5" s="14" t="s">
        <v>90</v>
      </c>
    </row>
    <row r="6" customFormat="false" ht="15" hidden="false" customHeight="true" outlineLevel="0" collapsed="false">
      <c r="A6" s="24" t="n">
        <v>3</v>
      </c>
      <c r="B6" s="24" t="s">
        <v>91</v>
      </c>
      <c r="C6" s="25" t="s">
        <v>92</v>
      </c>
      <c r="D6" s="7" t="n">
        <v>120000</v>
      </c>
      <c r="E6" s="17" t="n">
        <f aca="false">E5+D6</f>
        <v>400000</v>
      </c>
      <c r="F6" s="14" t="s">
        <v>93</v>
      </c>
    </row>
    <row r="7" customFormat="false" ht="15" hidden="false" customHeight="true" outlineLevel="0" collapsed="false">
      <c r="A7" s="24" t="n">
        <v>4</v>
      </c>
      <c r="B7" s="24" t="s">
        <v>94</v>
      </c>
      <c r="C7" s="25" t="s">
        <v>95</v>
      </c>
      <c r="D7" s="7" t="n">
        <v>120000</v>
      </c>
      <c r="E7" s="17" t="n">
        <f aca="false">E6+D7</f>
        <v>520000</v>
      </c>
      <c r="F7" s="14" t="s">
        <v>96</v>
      </c>
    </row>
    <row r="8" customFormat="false" ht="15" hidden="false" customHeight="true" outlineLevel="0" collapsed="false">
      <c r="A8" s="24" t="n">
        <v>5</v>
      </c>
      <c r="B8" s="24" t="s">
        <v>97</v>
      </c>
      <c r="C8" s="25" t="s">
        <v>98</v>
      </c>
      <c r="D8" s="7" t="n">
        <v>100000</v>
      </c>
      <c r="E8" s="17" t="n">
        <f aca="false">E7+D8</f>
        <v>620000</v>
      </c>
      <c r="F8" s="14" t="s">
        <v>99</v>
      </c>
    </row>
    <row r="9" customFormat="false" ht="15" hidden="false" customHeight="true" outlineLevel="0" collapsed="false">
      <c r="A9" s="24" t="n">
        <v>6</v>
      </c>
      <c r="B9" s="24" t="s">
        <v>100</v>
      </c>
      <c r="C9" s="25" t="s">
        <v>101</v>
      </c>
      <c r="D9" s="7" t="n">
        <v>80000</v>
      </c>
      <c r="E9" s="17" t="n">
        <f aca="false">E8+D9</f>
        <v>700000</v>
      </c>
      <c r="F9" s="14" t="s">
        <v>102</v>
      </c>
    </row>
    <row r="10" customFormat="false" ht="15" hidden="false" customHeight="true" outlineLevel="0" collapsed="false">
      <c r="A10" s="13" t="s">
        <v>103</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104</v>
      </c>
      <c r="B1" s="2"/>
      <c r="C1" s="2"/>
      <c r="D1" s="2"/>
      <c r="E1" s="2"/>
      <c r="F1" s="2"/>
      <c r="G1" s="2"/>
      <c r="H1" s="2"/>
      <c r="I1" s="2"/>
    </row>
    <row r="3" customFormat="false" ht="15" hidden="false" customHeight="true" outlineLevel="0" collapsed="false">
      <c r="A3" s="13" t="s">
        <v>105</v>
      </c>
      <c r="B3" s="13" t="s">
        <v>106</v>
      </c>
      <c r="C3" s="13" t="s">
        <v>107</v>
      </c>
      <c r="D3" s="13" t="s">
        <v>108</v>
      </c>
      <c r="E3" s="13" t="s">
        <v>109</v>
      </c>
      <c r="F3" s="13" t="s">
        <v>110</v>
      </c>
      <c r="G3" s="13" t="s">
        <v>111</v>
      </c>
      <c r="H3" s="13" t="s">
        <v>112</v>
      </c>
      <c r="I3" s="13" t="s">
        <v>113</v>
      </c>
    </row>
    <row r="4" customFormat="false" ht="15" hidden="false" customHeight="true" outlineLevel="0" collapsed="false">
      <c r="A4" s="14" t="s">
        <v>114</v>
      </c>
      <c r="B4" s="14" t="s">
        <v>115</v>
      </c>
      <c r="C4" s="7" t="n">
        <v>0</v>
      </c>
      <c r="D4" s="7" t="n">
        <v>520000</v>
      </c>
      <c r="E4" s="26" t="n">
        <f aca="false">'1_Cover_Assumptions'!$B$19</f>
        <v>0.037</v>
      </c>
      <c r="F4" s="17" t="n">
        <f aca="false">(C4+D4/2)*E4</f>
        <v>9620</v>
      </c>
      <c r="G4" s="7" t="n">
        <v>0</v>
      </c>
      <c r="H4" s="7" t="n">
        <v>0</v>
      </c>
      <c r="I4" s="17" t="n">
        <f aca="false">C4+D4+F4-G4-H4</f>
        <v>529620</v>
      </c>
    </row>
    <row r="5" customFormat="false" ht="15" hidden="false" customHeight="true" outlineLevel="0" collapsed="false">
      <c r="A5" s="14" t="s">
        <v>116</v>
      </c>
      <c r="B5" s="14" t="s">
        <v>117</v>
      </c>
      <c r="C5" s="17" t="n">
        <f aca="false">I4</f>
        <v>529620</v>
      </c>
      <c r="D5" s="7" t="n">
        <v>180000</v>
      </c>
      <c r="E5" s="27" t="n">
        <f aca="false">'1_Cover_Assumptions'!$B$19*0.5</f>
        <v>0.0185</v>
      </c>
      <c r="F5" s="17" t="n">
        <f aca="false">(C5+D5/2)*E5</f>
        <v>11462.97</v>
      </c>
      <c r="G5" s="7" t="n">
        <v>0</v>
      </c>
      <c r="H5" s="7" t="n">
        <v>0</v>
      </c>
      <c r="I5" s="17" t="n">
        <f aca="false">C5+D5+F5-G5-H5</f>
        <v>721082.97</v>
      </c>
    </row>
    <row r="6" customFormat="false" ht="15" hidden="false" customHeight="true" outlineLevel="0" collapsed="false">
      <c r="A6" s="14" t="s">
        <v>118</v>
      </c>
      <c r="B6" s="14" t="s">
        <v>119</v>
      </c>
      <c r="C6" s="17" t="n">
        <f aca="false">I5</f>
        <v>721082.97</v>
      </c>
      <c r="D6" s="7"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120</v>
      </c>
      <c r="B7" s="14" t="s">
        <v>121</v>
      </c>
      <c r="C7" s="17" t="n">
        <f aca="false">I6</f>
        <v>576866.376</v>
      </c>
      <c r="D7" s="7"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122</v>
      </c>
      <c r="B8" s="14" t="s">
        <v>123</v>
      </c>
      <c r="C8" s="17" t="n">
        <f aca="false">I7</f>
        <v>432649.782</v>
      </c>
      <c r="D8" s="7"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124</v>
      </c>
      <c r="B9" s="14" t="s">
        <v>125</v>
      </c>
      <c r="C9" s="17" t="n">
        <f aca="false">I8</f>
        <v>288433.188</v>
      </c>
      <c r="D9" s="7"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126</v>
      </c>
      <c r="B10" s="14" t="s">
        <v>127</v>
      </c>
      <c r="C10" s="17" t="n">
        <f aca="false">I9</f>
        <v>144216.594</v>
      </c>
      <c r="D10" s="7"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128</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129</v>
      </c>
    </row>
    <row r="14" customFormat="false" ht="15" hidden="false" customHeight="true" outlineLevel="0" collapsed="false">
      <c r="A14" s="22" t="s">
        <v>130</v>
      </c>
      <c r="B14" s="22"/>
      <c r="C14" s="22"/>
      <c r="D14" s="22"/>
      <c r="E14" s="22"/>
      <c r="F14" s="22"/>
      <c r="G14" s="22"/>
      <c r="H14" s="22"/>
      <c r="I14" s="22"/>
    </row>
    <row r="15" customFormat="false" ht="15" hidden="false" customHeight="true" outlineLevel="0" collapsed="false">
      <c r="A15" s="22" t="s">
        <v>131</v>
      </c>
      <c r="B15" s="22"/>
      <c r="C15" s="22"/>
      <c r="D15" s="22"/>
      <c r="E15" s="22"/>
      <c r="F15" s="22"/>
      <c r="G15" s="22"/>
      <c r="H15" s="22"/>
      <c r="I15" s="22"/>
    </row>
    <row r="16" customFormat="false" ht="15" hidden="false" customHeight="true" outlineLevel="0" collapsed="false">
      <c r="A16" s="22" t="s">
        <v>132</v>
      </c>
      <c r="B16" s="22"/>
      <c r="C16" s="22"/>
      <c r="D16" s="22"/>
      <c r="E16" s="22"/>
      <c r="F16" s="22"/>
      <c r="G16" s="22"/>
      <c r="H16" s="22"/>
      <c r="I16" s="22"/>
    </row>
    <row r="17" customFormat="false" ht="15" hidden="false" customHeight="true" outlineLevel="0" collapsed="false">
      <c r="A17" s="22" t="s">
        <v>133</v>
      </c>
      <c r="B17" s="22"/>
      <c r="C17" s="22"/>
      <c r="D17" s="22"/>
      <c r="E17" s="22"/>
      <c r="F17" s="22"/>
      <c r="G17" s="22"/>
      <c r="H17" s="22"/>
      <c r="I17" s="22"/>
    </row>
    <row r="18" customFormat="false" ht="15" hidden="false" customHeight="true" outlineLevel="0" collapsed="false">
      <c r="A18" s="22" t="s">
        <v>134</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135</v>
      </c>
      <c r="B1" s="2"/>
      <c r="C1" s="2"/>
      <c r="D1" s="2"/>
      <c r="E1" s="2"/>
      <c r="F1" s="2"/>
      <c r="G1" s="2"/>
      <c r="H1" s="2"/>
      <c r="I1" s="2"/>
    </row>
    <row r="3" customFormat="false" ht="15" hidden="false" customHeight="true" outlineLevel="0" collapsed="false">
      <c r="A3" s="13" t="s">
        <v>136</v>
      </c>
      <c r="B3" s="23" t="s">
        <v>137</v>
      </c>
      <c r="C3" s="23" t="s">
        <v>138</v>
      </c>
      <c r="D3" s="23" t="s">
        <v>139</v>
      </c>
      <c r="E3" s="23" t="s">
        <v>140</v>
      </c>
      <c r="F3" s="23" t="s">
        <v>141</v>
      </c>
      <c r="G3" s="23" t="s">
        <v>142</v>
      </c>
      <c r="H3" s="23" t="s">
        <v>143</v>
      </c>
    </row>
    <row r="4" customFormat="false" ht="15" hidden="false" customHeight="true" outlineLevel="0" collapsed="false">
      <c r="A4" s="14" t="s">
        <v>144</v>
      </c>
      <c r="B4" s="8" t="n">
        <v>0</v>
      </c>
      <c r="C4" s="8" t="n">
        <v>150</v>
      </c>
      <c r="D4" s="8" t="n">
        <v>450</v>
      </c>
      <c r="E4" s="8" t="n">
        <v>1200</v>
      </c>
      <c r="F4" s="8" t="n">
        <v>2400</v>
      </c>
      <c r="G4" s="8" t="n">
        <v>4200</v>
      </c>
      <c r="H4" s="8" t="n">
        <v>6800</v>
      </c>
    </row>
    <row r="5" customFormat="false" ht="15" hidden="false" customHeight="true" outlineLevel="0" collapsed="false">
      <c r="A5" s="14" t="s">
        <v>145</v>
      </c>
      <c r="B5" s="8" t="n">
        <v>0</v>
      </c>
      <c r="C5" s="8" t="n">
        <v>50</v>
      </c>
      <c r="D5" s="8" t="n">
        <v>200</v>
      </c>
      <c r="E5" s="8" t="n">
        <v>500</v>
      </c>
      <c r="F5" s="8" t="n">
        <v>900</v>
      </c>
      <c r="G5" s="8" t="n">
        <v>1500</v>
      </c>
      <c r="H5" s="8" t="n">
        <v>2400</v>
      </c>
    </row>
    <row r="6" customFormat="false" ht="15" hidden="false" customHeight="true" outlineLevel="0" collapsed="false">
      <c r="A6" s="14" t="s">
        <v>146</v>
      </c>
      <c r="B6" s="8" t="n">
        <v>0</v>
      </c>
      <c r="C6" s="8" t="n">
        <v>0</v>
      </c>
      <c r="D6" s="8" t="n">
        <v>100</v>
      </c>
      <c r="E6" s="8" t="n">
        <v>400</v>
      </c>
      <c r="F6" s="8" t="n">
        <v>900</v>
      </c>
      <c r="G6" s="8" t="n">
        <v>1800</v>
      </c>
      <c r="H6" s="8" t="n">
        <v>3200</v>
      </c>
    </row>
    <row r="7" customFormat="false" ht="15" hidden="false" customHeight="true" outlineLevel="0" collapsed="false">
      <c r="A7" s="14" t="s">
        <v>147</v>
      </c>
      <c r="B7" s="8" t="n">
        <v>50</v>
      </c>
      <c r="C7" s="8" t="n">
        <v>150</v>
      </c>
      <c r="D7" s="8" t="n">
        <v>300</v>
      </c>
      <c r="E7" s="8" t="n">
        <v>500</v>
      </c>
      <c r="F7" s="8" t="n">
        <v>700</v>
      </c>
      <c r="G7" s="8" t="n">
        <v>900</v>
      </c>
      <c r="H7" s="8" t="n">
        <v>1100</v>
      </c>
    </row>
    <row r="8" customFormat="false" ht="15" hidden="false" customHeight="true" outlineLevel="0" collapsed="false">
      <c r="A8" s="14" t="s">
        <v>148</v>
      </c>
      <c r="B8" s="8" t="n">
        <v>0</v>
      </c>
      <c r="C8" s="8" t="n">
        <v>30</v>
      </c>
      <c r="D8" s="8" t="n">
        <v>90</v>
      </c>
      <c r="E8" s="8" t="n">
        <v>200</v>
      </c>
      <c r="F8" s="8" t="n">
        <v>400</v>
      </c>
      <c r="G8" s="8" t="n">
        <v>650</v>
      </c>
      <c r="H8" s="8" t="n">
        <v>950</v>
      </c>
    </row>
    <row r="9" customFormat="false" ht="15" hidden="false" customHeight="true" outlineLevel="0" collapsed="false">
      <c r="A9" s="3" t="s">
        <v>149</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150</v>
      </c>
    </row>
    <row r="12" customFormat="false" ht="15" hidden="false" customHeight="true" outlineLevel="0" collapsed="false">
      <c r="A12" s="14" t="s">
        <v>151</v>
      </c>
      <c r="B12" s="8" t="n">
        <v>30</v>
      </c>
      <c r="C12" s="8" t="n">
        <v>55</v>
      </c>
      <c r="D12" s="8" t="n">
        <v>95</v>
      </c>
      <c r="E12" s="8" t="n">
        <v>160</v>
      </c>
      <c r="F12" s="8" t="n">
        <v>280</v>
      </c>
      <c r="G12" s="8" t="n">
        <v>450</v>
      </c>
      <c r="H12" s="8" t="n">
        <v>680</v>
      </c>
    </row>
    <row r="13" customFormat="false" ht="15" hidden="false" customHeight="true" outlineLevel="0" collapsed="false">
      <c r="A13" s="14" t="s">
        <v>152</v>
      </c>
      <c r="B13" s="8" t="n">
        <v>20</v>
      </c>
      <c r="C13" s="8" t="n">
        <v>30</v>
      </c>
      <c r="D13" s="8" t="n">
        <v>40</v>
      </c>
      <c r="E13" s="8" t="n">
        <v>55</v>
      </c>
      <c r="F13" s="8" t="n">
        <v>75</v>
      </c>
      <c r="G13" s="8" t="n">
        <v>100</v>
      </c>
      <c r="H13" s="8" t="n">
        <v>140</v>
      </c>
    </row>
    <row r="14" customFormat="false" ht="15" hidden="false" customHeight="true" outlineLevel="0" collapsed="false">
      <c r="A14" s="14" t="s">
        <v>153</v>
      </c>
      <c r="B14" s="8" t="n">
        <v>10</v>
      </c>
      <c r="C14" s="8" t="n">
        <v>18</v>
      </c>
      <c r="D14" s="8" t="n">
        <v>50</v>
      </c>
      <c r="E14" s="8" t="n">
        <v>130</v>
      </c>
      <c r="F14" s="8" t="n">
        <v>270</v>
      </c>
      <c r="G14" s="8" t="n">
        <v>460</v>
      </c>
      <c r="H14" s="8" t="n">
        <v>720</v>
      </c>
    </row>
    <row r="15" customFormat="false" ht="15" hidden="false" customHeight="true" outlineLevel="0" collapsed="false">
      <c r="A15" s="3" t="s">
        <v>154</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155</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156</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157</v>
      </c>
    </row>
    <row r="21" customFormat="false" ht="15" hidden="false" customHeight="true" outlineLevel="0" collapsed="false">
      <c r="A21" s="14" t="s">
        <v>158</v>
      </c>
      <c r="B21" s="8" t="n">
        <v>110</v>
      </c>
      <c r="C21" s="8" t="n">
        <v>230</v>
      </c>
      <c r="D21" s="8" t="n">
        <v>350</v>
      </c>
      <c r="E21" s="8" t="n">
        <v>580</v>
      </c>
      <c r="F21" s="8" t="n">
        <v>860</v>
      </c>
      <c r="G21" s="8" t="n">
        <v>1160</v>
      </c>
      <c r="H21" s="8" t="n">
        <v>1460</v>
      </c>
    </row>
    <row r="22" customFormat="false" ht="15" hidden="false" customHeight="true" outlineLevel="0" collapsed="false">
      <c r="A22" s="14" t="s">
        <v>159</v>
      </c>
      <c r="B22" s="8" t="n">
        <v>40</v>
      </c>
      <c r="C22" s="8" t="n">
        <v>60</v>
      </c>
      <c r="D22" s="8" t="n">
        <v>110</v>
      </c>
      <c r="E22" s="8" t="n">
        <v>220</v>
      </c>
      <c r="F22" s="8" t="n">
        <v>360</v>
      </c>
      <c r="G22" s="8" t="n">
        <v>520</v>
      </c>
      <c r="H22" s="8" t="n">
        <v>700</v>
      </c>
    </row>
    <row r="23" customFormat="false" ht="15" hidden="false" customHeight="true" outlineLevel="0" collapsed="false">
      <c r="A23" s="14" t="s">
        <v>160</v>
      </c>
      <c r="B23" s="8" t="n">
        <v>110</v>
      </c>
      <c r="C23" s="8" t="n">
        <v>160</v>
      </c>
      <c r="D23" s="8" t="n">
        <v>210</v>
      </c>
      <c r="E23" s="8" t="n">
        <v>270</v>
      </c>
      <c r="F23" s="8" t="n">
        <v>330</v>
      </c>
      <c r="G23" s="8" t="n">
        <v>390</v>
      </c>
      <c r="H23" s="8" t="n">
        <v>450</v>
      </c>
    </row>
    <row r="24" customFormat="false" ht="15" hidden="false" customHeight="true" outlineLevel="0" collapsed="false">
      <c r="A24" s="14" t="s">
        <v>161</v>
      </c>
      <c r="B24" s="8" t="n">
        <v>15</v>
      </c>
      <c r="C24" s="8" t="n">
        <v>35</v>
      </c>
      <c r="D24" s="8" t="n">
        <v>70</v>
      </c>
      <c r="E24" s="8" t="n">
        <v>130</v>
      </c>
      <c r="F24" s="8" t="n">
        <v>220</v>
      </c>
      <c r="G24" s="8" t="n">
        <v>340</v>
      </c>
      <c r="H24" s="8" t="n">
        <v>490</v>
      </c>
    </row>
    <row r="25" customFormat="false" ht="15" hidden="false" customHeight="true" outlineLevel="0" collapsed="false">
      <c r="A25" s="14" t="s">
        <v>162</v>
      </c>
      <c r="B25" s="8" t="n">
        <v>10</v>
      </c>
      <c r="C25" s="8" t="n">
        <v>18</v>
      </c>
      <c r="D25" s="8" t="n">
        <v>35</v>
      </c>
      <c r="E25" s="8" t="n">
        <v>60</v>
      </c>
      <c r="F25" s="8" t="n">
        <v>90</v>
      </c>
      <c r="G25" s="8" t="n">
        <v>120</v>
      </c>
      <c r="H25" s="8" t="n">
        <v>160</v>
      </c>
    </row>
    <row r="26" customFormat="false" ht="15" hidden="false" customHeight="true" outlineLevel="0" collapsed="false">
      <c r="A26" s="14" t="s">
        <v>163</v>
      </c>
      <c r="B26" s="8" t="n">
        <v>20</v>
      </c>
      <c r="C26" s="8" t="n">
        <v>35</v>
      </c>
      <c r="D26" s="8" t="n">
        <v>55</v>
      </c>
      <c r="E26" s="8" t="n">
        <v>75</v>
      </c>
      <c r="F26" s="8" t="n">
        <v>100</v>
      </c>
      <c r="G26" s="8" t="n">
        <v>130</v>
      </c>
      <c r="H26" s="8" t="n">
        <v>160</v>
      </c>
    </row>
    <row r="27" customFormat="false" ht="15" hidden="false" customHeight="true" outlineLevel="0" collapsed="false">
      <c r="A27" s="14" t="s">
        <v>164</v>
      </c>
      <c r="B27" s="8" t="n">
        <v>10</v>
      </c>
      <c r="C27" s="8" t="n">
        <v>18</v>
      </c>
      <c r="D27" s="8" t="n">
        <v>28</v>
      </c>
      <c r="E27" s="8" t="n">
        <v>42</v>
      </c>
      <c r="F27" s="8" t="n">
        <v>58</v>
      </c>
      <c r="G27" s="8" t="n">
        <v>72</v>
      </c>
      <c r="H27" s="8" t="n">
        <v>88</v>
      </c>
    </row>
    <row r="28" customFormat="false" ht="15" hidden="false" customHeight="true" outlineLevel="0" collapsed="false">
      <c r="A28" s="14" t="s">
        <v>165</v>
      </c>
      <c r="B28" s="8" t="n">
        <v>15</v>
      </c>
      <c r="C28" s="8" t="n">
        <v>28</v>
      </c>
      <c r="D28" s="8" t="n">
        <v>45</v>
      </c>
      <c r="E28" s="8" t="n">
        <v>75</v>
      </c>
      <c r="F28" s="8" t="n">
        <v>110</v>
      </c>
      <c r="G28" s="8" t="n">
        <v>150</v>
      </c>
      <c r="H28" s="8" t="n">
        <v>190</v>
      </c>
    </row>
    <row r="29" customFormat="false" ht="15" hidden="false" customHeight="true" outlineLevel="0" collapsed="false">
      <c r="A29" s="3" t="s">
        <v>166</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167</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168</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169</v>
      </c>
      <c r="B34" s="8" t="n">
        <v>10</v>
      </c>
      <c r="C34" s="8" t="n">
        <v>30</v>
      </c>
      <c r="D34" s="8" t="n">
        <v>60</v>
      </c>
      <c r="E34" s="8" t="n">
        <v>90</v>
      </c>
      <c r="F34" s="8" t="n">
        <v>120</v>
      </c>
      <c r="G34" s="8" t="n">
        <v>150</v>
      </c>
      <c r="H34" s="8" t="n">
        <v>180</v>
      </c>
    </row>
    <row r="35" customFormat="false" ht="15" hidden="false" customHeight="true" outlineLevel="0" collapsed="false">
      <c r="A35" s="3" t="s">
        <v>170</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171</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172</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173</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174</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175</v>
      </c>
      <c r="B1" s="2"/>
      <c r="C1" s="2"/>
      <c r="D1" s="2"/>
      <c r="E1" s="2"/>
      <c r="F1" s="2"/>
      <c r="G1" s="2"/>
      <c r="H1" s="2"/>
      <c r="I1" s="2"/>
    </row>
    <row r="3" customFormat="false" ht="15" hidden="false" customHeight="true" outlineLevel="0" collapsed="false">
      <c r="A3" s="13" t="s">
        <v>136</v>
      </c>
      <c r="B3" s="23" t="s">
        <v>137</v>
      </c>
      <c r="C3" s="23" t="s">
        <v>138</v>
      </c>
      <c r="D3" s="23" t="s">
        <v>139</v>
      </c>
      <c r="E3" s="23" t="s">
        <v>140</v>
      </c>
      <c r="F3" s="23" t="s">
        <v>141</v>
      </c>
      <c r="G3" s="23" t="s">
        <v>142</v>
      </c>
      <c r="H3" s="23" t="s">
        <v>143</v>
      </c>
    </row>
    <row r="4" customFormat="false" ht="15" hidden="false" customHeight="true" outlineLevel="0" collapsed="false">
      <c r="A4" s="30" t="s">
        <v>176</v>
      </c>
    </row>
    <row r="5" customFormat="false" ht="15" hidden="false" customHeight="true" outlineLevel="0" collapsed="false">
      <c r="A5" s="34" t="s">
        <v>177</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178</v>
      </c>
      <c r="B6" s="8" t="n">
        <v>-10</v>
      </c>
      <c r="C6" s="8" t="n">
        <v>-25</v>
      </c>
      <c r="D6" s="8" t="n">
        <v>-50</v>
      </c>
      <c r="E6" s="8" t="n">
        <v>-85</v>
      </c>
      <c r="F6" s="8" t="n">
        <v>-140</v>
      </c>
      <c r="G6" s="8" t="n">
        <v>-200</v>
      </c>
      <c r="H6" s="8" t="n">
        <v>-270</v>
      </c>
    </row>
    <row r="7" customFormat="false" ht="15" hidden="false" customHeight="true" outlineLevel="0" collapsed="false">
      <c r="A7" s="34" t="s">
        <v>179</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180</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181</v>
      </c>
    </row>
    <row r="11" customFormat="false" ht="15" hidden="false" customHeight="true" outlineLevel="0" collapsed="false">
      <c r="A11" s="34" t="s">
        <v>182</v>
      </c>
      <c r="B11" s="8" t="n">
        <v>-60</v>
      </c>
      <c r="C11" s="8" t="n">
        <v>-50</v>
      </c>
      <c r="D11" s="8" t="n">
        <v>-45</v>
      </c>
      <c r="E11" s="8" t="n">
        <v>-65</v>
      </c>
      <c r="F11" s="8" t="n">
        <v>-85</v>
      </c>
      <c r="G11" s="8" t="n">
        <v>-110</v>
      </c>
      <c r="H11" s="8" t="n">
        <v>-150</v>
      </c>
    </row>
    <row r="12" customFormat="false" ht="15" hidden="false" customHeight="true" outlineLevel="0" collapsed="false">
      <c r="A12" s="3" t="s">
        <v>183</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184</v>
      </c>
    </row>
    <row r="15" customFormat="false" ht="15" hidden="false" customHeight="true" outlineLevel="0" collapsed="false">
      <c r="A15" s="34" t="s">
        <v>185</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186</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187</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188</v>
      </c>
      <c r="B18" s="8" t="n">
        <v>0</v>
      </c>
      <c r="C18" s="8" t="n">
        <v>1000</v>
      </c>
      <c r="D18" s="8" t="n">
        <v>0</v>
      </c>
      <c r="E18" s="8" t="n">
        <v>0</v>
      </c>
      <c r="F18" s="8" t="n">
        <v>0</v>
      </c>
      <c r="G18" s="8" t="n">
        <v>0</v>
      </c>
      <c r="H18" s="8" t="n">
        <v>0</v>
      </c>
    </row>
    <row r="19" customFormat="false" ht="15" hidden="false" customHeight="true" outlineLevel="0" collapsed="false">
      <c r="A19" s="3" t="s">
        <v>189</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190</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191</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192</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193</v>
      </c>
      <c r="B1" s="2"/>
      <c r="C1" s="2"/>
      <c r="D1" s="2"/>
      <c r="E1" s="2"/>
      <c r="F1" s="2"/>
      <c r="G1" s="2"/>
      <c r="H1" s="2"/>
      <c r="I1" s="2"/>
    </row>
    <row r="3" customFormat="false" ht="15" hidden="false" customHeight="true" outlineLevel="0" collapsed="false">
      <c r="A3" s="13" t="s">
        <v>136</v>
      </c>
      <c r="B3" s="23" t="s">
        <v>137</v>
      </c>
      <c r="C3" s="23" t="s">
        <v>138</v>
      </c>
      <c r="D3" s="23" t="s">
        <v>139</v>
      </c>
      <c r="E3" s="23" t="s">
        <v>140</v>
      </c>
      <c r="F3" s="23" t="s">
        <v>141</v>
      </c>
      <c r="G3" s="23" t="s">
        <v>142</v>
      </c>
      <c r="H3" s="23" t="s">
        <v>143</v>
      </c>
    </row>
    <row r="4" customFormat="false" ht="15" hidden="false" customHeight="true" outlineLevel="0" collapsed="false">
      <c r="A4" s="30" t="s">
        <v>194</v>
      </c>
    </row>
    <row r="5" customFormat="false" ht="15" hidden="false" customHeight="true" outlineLevel="0" collapsed="false">
      <c r="A5" s="34" t="s">
        <v>195</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196</v>
      </c>
      <c r="B6" s="8" t="n">
        <v>10</v>
      </c>
      <c r="C6" s="8" t="n">
        <v>40</v>
      </c>
      <c r="D6" s="8" t="n">
        <v>100</v>
      </c>
      <c r="E6" s="8" t="n">
        <v>200</v>
      </c>
      <c r="F6" s="8" t="n">
        <v>360</v>
      </c>
      <c r="G6" s="8" t="n">
        <v>580</v>
      </c>
      <c r="H6" s="8" t="n">
        <v>880</v>
      </c>
    </row>
    <row r="7" customFormat="false" ht="15" hidden="false" customHeight="true" outlineLevel="0" collapsed="false">
      <c r="A7" s="34" t="s">
        <v>197</v>
      </c>
      <c r="B7" s="8" t="n">
        <v>20</v>
      </c>
      <c r="C7" s="8" t="n">
        <v>25</v>
      </c>
      <c r="D7" s="8" t="n">
        <v>35</v>
      </c>
      <c r="E7" s="8" t="n">
        <v>50</v>
      </c>
      <c r="F7" s="8" t="n">
        <v>70</v>
      </c>
      <c r="G7" s="8" t="n">
        <v>90</v>
      </c>
      <c r="H7" s="8" t="n">
        <v>110</v>
      </c>
    </row>
    <row r="8" customFormat="false" ht="15" hidden="false" customHeight="true" outlineLevel="0" collapsed="false">
      <c r="A8" s="38" t="s">
        <v>198</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199</v>
      </c>
      <c r="B9" s="8" t="n">
        <v>80</v>
      </c>
      <c r="C9" s="8" t="n">
        <v>130</v>
      </c>
      <c r="D9" s="8" t="n">
        <v>180</v>
      </c>
      <c r="E9" s="8" t="n">
        <v>250</v>
      </c>
      <c r="F9" s="8" t="n">
        <v>340</v>
      </c>
      <c r="G9" s="8" t="n">
        <v>460</v>
      </c>
      <c r="H9" s="8" t="n">
        <v>620</v>
      </c>
    </row>
    <row r="10" customFormat="false" ht="15" hidden="false" customHeight="true" outlineLevel="0" collapsed="false">
      <c r="A10" s="34" t="s">
        <v>200</v>
      </c>
      <c r="B10" s="8" t="n">
        <v>50</v>
      </c>
      <c r="C10" s="8" t="n">
        <v>130</v>
      </c>
      <c r="D10" s="8" t="n">
        <v>220</v>
      </c>
      <c r="E10" s="8" t="n">
        <v>320</v>
      </c>
      <c r="F10" s="8" t="n">
        <v>430</v>
      </c>
      <c r="G10" s="8" t="n">
        <v>550</v>
      </c>
      <c r="H10" s="8" t="n">
        <v>680</v>
      </c>
    </row>
    <row r="11" customFormat="false" ht="15" hidden="false" customHeight="true" outlineLevel="0" collapsed="false">
      <c r="A11" s="38" t="s">
        <v>201</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202</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203</v>
      </c>
    </row>
    <row r="15" customFormat="false" ht="15" hidden="false" customHeight="true" outlineLevel="0" collapsed="false">
      <c r="A15" s="34" t="s">
        <v>204</v>
      </c>
      <c r="B15" s="8" t="n">
        <v>12</v>
      </c>
      <c r="C15" s="8" t="n">
        <v>22</v>
      </c>
      <c r="D15" s="8" t="n">
        <v>38</v>
      </c>
      <c r="E15" s="8" t="n">
        <v>60</v>
      </c>
      <c r="F15" s="8" t="n">
        <v>95</v>
      </c>
      <c r="G15" s="8" t="n">
        <v>140</v>
      </c>
      <c r="H15" s="8" t="n">
        <v>200</v>
      </c>
    </row>
    <row r="16" customFormat="false" ht="15" hidden="false" customHeight="true" outlineLevel="0" collapsed="false">
      <c r="A16" s="34" t="s">
        <v>205</v>
      </c>
      <c r="B16" s="8" t="n">
        <v>8</v>
      </c>
      <c r="C16" s="8" t="n">
        <v>18</v>
      </c>
      <c r="D16" s="8" t="n">
        <v>30</v>
      </c>
      <c r="E16" s="8" t="n">
        <v>50</v>
      </c>
      <c r="F16" s="8" t="n">
        <v>75</v>
      </c>
      <c r="G16" s="8" t="n">
        <v>110</v>
      </c>
      <c r="H16" s="8" t="n">
        <v>160</v>
      </c>
    </row>
    <row r="17" customFormat="false" ht="15" hidden="false" customHeight="true" outlineLevel="0" collapsed="false">
      <c r="A17" s="11" t="s">
        <v>206</v>
      </c>
      <c r="B17" s="8" t="n">
        <v>0</v>
      </c>
      <c r="C17" s="8" t="n">
        <v>0</v>
      </c>
      <c r="D17" s="8" t="n">
        <v>0</v>
      </c>
      <c r="E17" s="8" t="n">
        <v>0</v>
      </c>
      <c r="F17" s="8" t="n">
        <v>0</v>
      </c>
      <c r="G17" s="8" t="n">
        <v>0</v>
      </c>
      <c r="H17" s="8" t="n">
        <v>0</v>
      </c>
    </row>
    <row r="18" customFormat="false" ht="15" hidden="false" customHeight="true" outlineLevel="0" collapsed="false">
      <c r="A18" s="39" t="s">
        <v>207</v>
      </c>
      <c r="B18" s="40" t="n">
        <f aca="false">SUM(B15:B17)</f>
        <v>20</v>
      </c>
      <c r="C18" s="40" t="n">
        <f aca="false">SUM(C15:C17)</f>
        <v>40</v>
      </c>
      <c r="D18" s="40" t="n">
        <f aca="false">SUM(D15:D17)</f>
        <v>68</v>
      </c>
      <c r="E18" s="40" t="n">
        <f aca="false">SUM(E15:E17)</f>
        <v>110</v>
      </c>
      <c r="F18" s="40" t="n">
        <f aca="false">SUM(F15:F17)</f>
        <v>170</v>
      </c>
      <c r="G18" s="40" t="n">
        <f aca="false">SUM(G15:G17)</f>
        <v>250</v>
      </c>
      <c r="H18" s="40" t="n">
        <f aca="false">SUM(H15:H17)</f>
        <v>360</v>
      </c>
    </row>
    <row r="19" customFormat="false" ht="15" hidden="false" customHeight="true" outlineLevel="0" collapsed="false">
      <c r="A19" s="34" t="s">
        <v>208</v>
      </c>
      <c r="B19" s="36" t="n">
        <f aca="false">MAX(0,'3_Interest_Repayment'!I4/1000)</f>
        <v>529.62</v>
      </c>
      <c r="C19" s="36" t="n">
        <f aca="false">MAX(0,'3_Interest_Repayment'!I5/1000)</f>
        <v>721.08297</v>
      </c>
      <c r="D19" s="36" t="n">
        <f aca="false">MAX(0,'3_Interest_Repayment'!I6/1000)</f>
        <v>576.866376</v>
      </c>
      <c r="E19" s="36" t="n">
        <f aca="false">MAX(0,'3_Interest_Repayment'!I7/1000)</f>
        <v>432.649782</v>
      </c>
      <c r="F19" s="36" t="n">
        <f aca="false">MAX(0,'3_Interest_Repayment'!I8/1000)</f>
        <v>288.433188</v>
      </c>
      <c r="G19" s="36" t="n">
        <f aca="false">MAX(0,'3_Interest_Repayment'!I9/1000)</f>
        <v>144.216594</v>
      </c>
      <c r="H19" s="36" t="n">
        <f aca="false">MAX(0,'3_Interest_Repayment'!I10/1000)</f>
        <v>1.14596332423389E-013</v>
      </c>
    </row>
    <row r="20" customFormat="false" ht="15" hidden="false" customHeight="true" outlineLevel="0" collapsed="false">
      <c r="A20" s="39" t="s">
        <v>209</v>
      </c>
      <c r="B20" s="40" t="n">
        <f aca="false">B19</f>
        <v>529.62</v>
      </c>
      <c r="C20" s="40" t="n">
        <f aca="false">C19</f>
        <v>721.08297</v>
      </c>
      <c r="D20" s="40" t="n">
        <f aca="false">D19</f>
        <v>576.866376</v>
      </c>
      <c r="E20" s="40" t="n">
        <f aca="false">E19</f>
        <v>432.649782</v>
      </c>
      <c r="F20" s="40" t="n">
        <f aca="false">F19</f>
        <v>288.433188</v>
      </c>
      <c r="G20" s="40" t="n">
        <f aca="false">G19</f>
        <v>144.216594</v>
      </c>
      <c r="H20" s="40" t="n">
        <f aca="false">H19</f>
        <v>1.14596332423389E-013</v>
      </c>
    </row>
    <row r="21" customFormat="false" ht="15" hidden="false" customHeight="true" outlineLevel="0" collapsed="false">
      <c r="A21" s="13" t="s">
        <v>210</v>
      </c>
      <c r="B21" s="37" t="n">
        <f aca="false">B18+B20</f>
        <v>549.62</v>
      </c>
      <c r="C21" s="37" t="n">
        <f aca="false">C18+C20</f>
        <v>761.08297</v>
      </c>
      <c r="D21" s="37" t="n">
        <f aca="false">D18+D20</f>
        <v>644.866376</v>
      </c>
      <c r="E21" s="37" t="n">
        <f aca="false">E18+E20</f>
        <v>542.649782</v>
      </c>
      <c r="F21" s="37" t="n">
        <f aca="false">F18+F20</f>
        <v>458.433188</v>
      </c>
      <c r="G21" s="37" t="n">
        <f aca="false">G18+G20</f>
        <v>394.216594</v>
      </c>
      <c r="H21" s="37" t="n">
        <f aca="false">H18+H20</f>
        <v>360</v>
      </c>
    </row>
    <row r="23" customFormat="false" ht="15" hidden="false" customHeight="true" outlineLevel="0" collapsed="false">
      <c r="A23" s="30" t="s">
        <v>211</v>
      </c>
    </row>
    <row r="24" customFormat="false" ht="15" hidden="false" customHeight="true" outlineLevel="0" collapsed="false">
      <c r="A24" s="34" t="s">
        <v>212</v>
      </c>
      <c r="B24" s="8" t="n">
        <v>200</v>
      </c>
      <c r="C24" s="8" t="n">
        <v>1200</v>
      </c>
      <c r="D24" s="8" t="n">
        <v>1200</v>
      </c>
      <c r="E24" s="8" t="n">
        <v>1200</v>
      </c>
      <c r="F24" s="8" t="n">
        <v>1200</v>
      </c>
      <c r="G24" s="8" t="n">
        <v>1200</v>
      </c>
      <c r="H24" s="8" t="n">
        <v>1200</v>
      </c>
    </row>
    <row r="25" customFormat="false" ht="15" hidden="false" customHeight="true" outlineLevel="0" collapsed="false">
      <c r="A25" s="34" t="s">
        <v>213</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214</v>
      </c>
      <c r="B26" s="36" t="n">
        <f aca="false">B12-B21-B24-B25</f>
        <v>-120</v>
      </c>
      <c r="C26" s="36" t="n">
        <f aca="false">C12-C21-C24-C25</f>
        <v>-20</v>
      </c>
      <c r="D26" s="36" t="n">
        <f aca="false">D12-D21-D24-D25</f>
        <v>127</v>
      </c>
      <c r="E26" s="36" t="n">
        <f aca="false">E12-E21-E24-E25</f>
        <v>310</v>
      </c>
      <c r="F26" s="36" t="n">
        <f aca="false">F12-F21-F24-F25</f>
        <v>525</v>
      </c>
      <c r="G26" s="36" t="n">
        <f aca="false">G12-G21-G24-G25</f>
        <v>764.999999999999</v>
      </c>
      <c r="H26" s="36" t="n">
        <f aca="false">H12-H21-H24-H25</f>
        <v>1025</v>
      </c>
    </row>
    <row r="27" customFormat="false" ht="15" hidden="false" customHeight="true" outlineLevel="0" collapsed="false">
      <c r="A27" s="13" t="s">
        <v>215</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7384.520701517</v>
      </c>
      <c r="H27" s="37" t="n">
        <f aca="false">H24+H25+H26</f>
        <v>14410.51668055</v>
      </c>
    </row>
    <row r="28" customFormat="false" ht="15" hidden="false" customHeight="true" outlineLevel="0" collapsed="false"/>
    <row r="29" customFormat="false" ht="15" hidden="false" customHeight="true" outlineLevel="0" collapsed="false">
      <c r="A29" s="13" t="s">
        <v>216</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217</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218</v>
      </c>
      <c r="B32" s="42" t="n">
        <f aca="false">IFERROR(B8/B18,0)</f>
        <v>7</v>
      </c>
      <c r="C32" s="42" t="n">
        <f aca="false">IFERROR(C8/C18,0)</f>
        <v>24.325</v>
      </c>
      <c r="D32" s="42" t="n">
        <f aca="false">IFERROR(D8/D18,0)</f>
        <v>11.8003421502941</v>
      </c>
      <c r="E32" s="42" t="n">
        <f aca="false">IFERROR(E8/E18,0)</f>
        <v>12.4176417122909</v>
      </c>
      <c r="F32" s="42" t="n">
        <f aca="false">IFERROR(F8/F18,0)</f>
        <v>18.1938937144176</v>
      </c>
      <c r="G32" s="42" t="n">
        <f aca="false">IFERROR(G8/G18,0)</f>
        <v>27.074949182068</v>
      </c>
      <c r="H32" s="42" t="n">
        <f aca="false">IFERROR(H8/H18,0)</f>
        <v>37.4181018904167</v>
      </c>
    </row>
    <row r="33" customFormat="false" ht="15" hidden="false" customHeight="true" outlineLevel="0" collapsed="false">
      <c r="A33" s="5" t="s">
        <v>219</v>
      </c>
    </row>
    <row r="34" customFormat="false" ht="32.25" hidden="false" customHeight="true" outlineLevel="0" collapsed="false">
      <c r="A34" s="5" t="s">
        <v>220</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12"/>
    <col collapsed="false" customWidth="true" hidden="false" outlineLevel="0" max="4" min="4" style="1" width="50"/>
  </cols>
  <sheetData>
    <row r="1" customFormat="false" ht="21.75" hidden="false" customHeight="true" outlineLevel="0" collapsed="false">
      <c r="A1" s="6" t="s">
        <v>221</v>
      </c>
      <c r="B1" s="6"/>
      <c r="C1" s="6"/>
      <c r="D1" s="6"/>
      <c r="E1" s="6"/>
      <c r="F1" s="6"/>
    </row>
    <row r="3" customFormat="false" ht="15" hidden="false" customHeight="true" outlineLevel="0" collapsed="false">
      <c r="A3" s="19" t="s">
        <v>222</v>
      </c>
      <c r="B3" s="43" t="s">
        <v>223</v>
      </c>
      <c r="C3" s="43" t="s">
        <v>224</v>
      </c>
      <c r="D3" s="19" t="s">
        <v>225</v>
      </c>
    </row>
    <row r="4" customFormat="false" ht="15" hidden="false" customHeight="true" outlineLevel="0" collapsed="false">
      <c r="A4" s="14" t="s">
        <v>226</v>
      </c>
      <c r="B4" s="7" t="n">
        <v>672567</v>
      </c>
      <c r="C4" s="44" t="n">
        <f aca="false">B4/$B$12</f>
        <v>0.763788558962578</v>
      </c>
      <c r="D4" s="5" t="s">
        <v>227</v>
      </c>
    </row>
    <row r="5" customFormat="false" ht="15" hidden="false" customHeight="true" outlineLevel="0" collapsed="false">
      <c r="A5" s="14" t="s">
        <v>228</v>
      </c>
      <c r="B5" s="7" t="n">
        <v>50000</v>
      </c>
      <c r="C5" s="44" t="n">
        <f aca="false">B5/$B$12</f>
        <v>0.0567815964032266</v>
      </c>
      <c r="D5" s="5" t="s">
        <v>229</v>
      </c>
    </row>
    <row r="6" customFormat="false" ht="15" hidden="false" customHeight="true" outlineLevel="0" collapsed="false">
      <c r="A6" s="14" t="s">
        <v>64</v>
      </c>
      <c r="B6" s="7" t="n">
        <v>35000</v>
      </c>
      <c r="C6" s="44" t="n">
        <f aca="false">B6/$B$12</f>
        <v>0.0397471174822586</v>
      </c>
      <c r="D6" s="5" t="s">
        <v>230</v>
      </c>
    </row>
    <row r="7" customFormat="false" ht="15" hidden="false" customHeight="true" outlineLevel="0" collapsed="false">
      <c r="A7" s="14" t="s">
        <v>231</v>
      </c>
      <c r="B7" s="7" t="n">
        <v>25000</v>
      </c>
      <c r="C7" s="44" t="n">
        <f aca="false">B7/$B$12</f>
        <v>0.0283907982016133</v>
      </c>
      <c r="D7" s="5" t="s">
        <v>232</v>
      </c>
    </row>
    <row r="8" customFormat="false" ht="15" hidden="false" customHeight="true" outlineLevel="0" collapsed="false">
      <c r="A8" s="14" t="s">
        <v>233</v>
      </c>
      <c r="B8" s="7" t="n">
        <v>15000</v>
      </c>
      <c r="C8" s="44" t="n">
        <f aca="false">B8/$B$12</f>
        <v>0.017034478920968</v>
      </c>
      <c r="D8" s="5" t="s">
        <v>234</v>
      </c>
    </row>
    <row r="9" customFormat="false" ht="15" hidden="false" customHeight="true" outlineLevel="0" collapsed="false">
      <c r="A9" s="14" t="s">
        <v>67</v>
      </c>
      <c r="B9" s="7" t="n">
        <v>10000</v>
      </c>
      <c r="C9" s="44" t="n">
        <f aca="false">B9/$B$12</f>
        <v>0.0113563192806453</v>
      </c>
      <c r="D9" s="5" t="s">
        <v>235</v>
      </c>
    </row>
    <row r="10" customFormat="false" ht="15" hidden="false" customHeight="true" outlineLevel="0" collapsed="false">
      <c r="A10" s="14" t="s">
        <v>68</v>
      </c>
      <c r="B10" s="7" t="n">
        <v>8000</v>
      </c>
      <c r="C10" s="44" t="n">
        <f aca="false">B10/$B$12</f>
        <v>0.00908505542451625</v>
      </c>
      <c r="D10" s="5" t="s">
        <v>236</v>
      </c>
    </row>
    <row r="11" customFormat="false" ht="15" hidden="false" customHeight="true" outlineLevel="0" collapsed="false">
      <c r="A11" s="14" t="s">
        <v>237</v>
      </c>
      <c r="B11" s="7" t="n">
        <v>65000</v>
      </c>
      <c r="C11" s="44" t="n">
        <f aca="false">B11/$B$12</f>
        <v>0.0738160753241945</v>
      </c>
      <c r="D11" s="5" t="s">
        <v>238</v>
      </c>
    </row>
    <row r="12" customFormat="false" ht="15" hidden="false" customHeight="true" outlineLevel="0" collapsed="false">
      <c r="A12" s="19" t="s">
        <v>239</v>
      </c>
      <c r="B12" s="20" t="n">
        <f aca="false">SUM(B4:B11)</f>
        <v>880567</v>
      </c>
      <c r="C12" s="45" t="n">
        <f aca="false">SUM(C4:C11)</f>
        <v>1</v>
      </c>
      <c r="D12" s="5"/>
    </row>
    <row r="13" customFormat="false" ht="15" hidden="false" customHeight="true" outlineLevel="0" collapsed="false">
      <c r="A13" s="46"/>
      <c r="B13" s="47"/>
      <c r="C13" s="48"/>
    </row>
    <row r="14" customFormat="false" ht="15" hidden="false" customHeight="true" outlineLevel="0" collapsed="false">
      <c r="A14" s="49" t="s">
        <v>240</v>
      </c>
      <c r="B14" s="7" t="n">
        <v>700000</v>
      </c>
      <c r="C14" s="44" t="n">
        <f aca="false">B14/B12</f>
        <v>0.794942349645172</v>
      </c>
      <c r="D14" s="5" t="s">
        <v>241</v>
      </c>
    </row>
    <row r="15" customFormat="false" ht="15" hidden="false" customHeight="true" outlineLevel="0" collapsed="false">
      <c r="A15" s="49" t="s">
        <v>242</v>
      </c>
      <c r="B15" s="7" t="n">
        <v>190000</v>
      </c>
      <c r="D15" s="5" t="s">
        <v>243</v>
      </c>
    </row>
    <row r="16" customFormat="false" ht="15" hidden="false" customHeight="true" outlineLevel="0" collapsed="false">
      <c r="A16" s="19" t="s">
        <v>244</v>
      </c>
      <c r="B16" s="20" t="n">
        <f aca="false">B14+B15</f>
        <v>890000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245</v>
      </c>
      <c r="B1" s="2"/>
      <c r="C1" s="2"/>
      <c r="D1" s="2"/>
      <c r="E1" s="2"/>
      <c r="F1" s="2"/>
      <c r="G1" s="2"/>
      <c r="H1" s="2"/>
      <c r="I1" s="2"/>
    </row>
    <row r="3" customFormat="false" ht="15" hidden="false" customHeight="true" outlineLevel="0" collapsed="false">
      <c r="A3" s="13" t="s">
        <v>246</v>
      </c>
      <c r="B3" s="23" t="s">
        <v>137</v>
      </c>
      <c r="C3" s="23" t="s">
        <v>138</v>
      </c>
      <c r="D3" s="23" t="s">
        <v>139</v>
      </c>
      <c r="E3" s="23" t="s">
        <v>140</v>
      </c>
      <c r="F3" s="23" t="s">
        <v>141</v>
      </c>
      <c r="G3" s="23" t="s">
        <v>142</v>
      </c>
      <c r="H3" s="23" t="s">
        <v>143</v>
      </c>
    </row>
    <row r="4" customFormat="false" ht="15" hidden="false" customHeight="true" outlineLevel="0" collapsed="false">
      <c r="A4" s="34" t="s">
        <v>247</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248</v>
      </c>
      <c r="B5" s="50" t="s">
        <v>249</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156</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168</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250</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51" t="s">
        <v>251</v>
      </c>
      <c r="B9" s="52" t="n">
        <f aca="false">'6_Balance_Sheet'!B32</f>
        <v>7</v>
      </c>
      <c r="C9" s="52" t="n">
        <f aca="false">'6_Balance_Sheet'!C32</f>
        <v>24.325</v>
      </c>
      <c r="D9" s="52" t="n">
        <f aca="false">'6_Balance_Sheet'!D32</f>
        <v>11.8003421502941</v>
      </c>
      <c r="E9" s="52" t="n">
        <f aca="false">'6_Balance_Sheet'!E32</f>
        <v>12.4176417122909</v>
      </c>
      <c r="F9" s="52" t="n">
        <f aca="false">'6_Balance_Sheet'!F32</f>
        <v>18.1938937144176</v>
      </c>
      <c r="G9" s="52" t="n">
        <f aca="false">'6_Balance_Sheet'!G32</f>
        <v>27.074949182068</v>
      </c>
      <c r="H9" s="52" t="n">
        <f aca="false">'6_Balance_Sheet'!H32</f>
        <v>37.4181018904167</v>
      </c>
    </row>
    <row r="10" customFormat="false" ht="15" hidden="false" customHeight="true" outlineLevel="0" collapsed="false">
      <c r="A10" s="34" t="s">
        <v>252</v>
      </c>
      <c r="B10" s="53" t="n">
        <f aca="false">IFERROR('4_PnL_Forecast'!B31/MAX(1,('3_Interest_Repayment'!G4+'3_Interest_Repayment'!H4)/1000),0)</f>
        <v>-340</v>
      </c>
      <c r="C10" s="53" t="n">
        <f aca="false">IFERROR('4_PnL_Forecast'!C31/MAX(1,('3_Interest_Repayment'!G5+'3_Interest_Repayment'!H5)/1000),0)</f>
        <v>-307</v>
      </c>
      <c r="D10" s="53" t="n">
        <f aca="false">IFERROR('4_PnL_Forecast'!D31/MAX(1,('3_Interest_Repayment'!G6+'3_Interest_Repayment'!H6)/1000),0)</f>
        <v>0.263188883656218</v>
      </c>
      <c r="E10" s="53" t="n">
        <f aca="false">IFERROR('4_PnL_Forecast'!E31/MAX(1,('3_Interest_Repayment'!G7+'3_Interest_Repayment'!H7)/1000),0)</f>
        <v>5.36637103693088</v>
      </c>
      <c r="F10" s="53" t="n">
        <f aca="false">IFERROR('4_PnL_Forecast'!F31/MAX(1,('3_Interest_Repayment'!G8+'3_Interest_Repayment'!H8)/1000),0)</f>
        <v>14.4524842430626</v>
      </c>
      <c r="G10" s="53" t="n">
        <f aca="false">IFERROR('4_PnL_Forecast'!G31/MAX(1,('3_Interest_Repayment'!G9+'3_Interest_Repayment'!H9)/1000),0)</f>
        <v>31.1547460265565</v>
      </c>
      <c r="H10" s="53" t="n">
        <f aca="false">IFERROR('4_PnL_Forecast'!H31/MAX(1,('3_Interest_Repayment'!G10+'3_Interest_Repayment'!H10)/1000),0)</f>
        <v>59.4749948941821</v>
      </c>
    </row>
    <row r="12" customFormat="false" ht="21.75" hidden="false" customHeight="true" outlineLevel="0" collapsed="false">
      <c r="A12" s="6" t="s">
        <v>253</v>
      </c>
      <c r="B12" s="6"/>
      <c r="C12" s="6"/>
      <c r="D12" s="6"/>
      <c r="E12" s="6"/>
      <c r="F12" s="6"/>
      <c r="G12" s="6"/>
      <c r="H12" s="6"/>
      <c r="I12" s="6"/>
    </row>
    <row r="13" customFormat="false" ht="15" hidden="false" customHeight="true" outlineLevel="0" collapsed="false">
      <c r="A13" s="34" t="s">
        <v>254</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255</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256</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257</v>
      </c>
      <c r="B16" s="54" t="n">
        <f aca="false">IFERROR(B15/MAX(1,('3_Interest_Repayment'!G4+'3_Interest_Repayment'!H4)/1000),0)</f>
        <v>-337</v>
      </c>
      <c r="C16" s="54" t="n">
        <f aca="false">IFERROR(C15/MAX(1,('3_Interest_Repayment'!G5+'3_Interest_Repayment'!H5)/1000),0)</f>
        <v>-390.1</v>
      </c>
      <c r="D16" s="54" t="n">
        <f aca="false">IFERROR(D15/MAX(1,('3_Interest_Repayment'!G6+'3_Interest_Repayment'!H6)/1000),0)</f>
        <v>-1.18688063879583</v>
      </c>
      <c r="E16" s="54" t="n">
        <f aca="false">IFERROR(E15/MAX(1,('3_Interest_Repayment'!G7+'3_Interest_Repayment'!H7)/1000),0)</f>
        <v>1.42586030044076</v>
      </c>
      <c r="F16" s="54" t="n">
        <f aca="false">IFERROR(F15/MAX(1,('3_Interest_Repayment'!G8+'3_Interest_Repayment'!H8)/1000),0)</f>
        <v>6.49425528707702</v>
      </c>
      <c r="G16" s="54" t="n">
        <f aca="false">IFERROR(G15/MAX(1,('3_Interest_Repayment'!G9+'3_Interest_Repayment'!H9)/1000),0)</f>
        <v>16.5860668066933</v>
      </c>
      <c r="H16" s="54" t="n">
        <f aca="false">IFERROR(H15/MAX(1,('3_Interest_Repayment'!G10+'3_Interest_Repayment'!H10)/1000),0)</f>
        <v>34.4699302800736</v>
      </c>
    </row>
    <row r="18" customFormat="false" ht="21.75" hidden="false" customHeight="true" outlineLevel="0" collapsed="false">
      <c r="A18" s="6" t="s">
        <v>258</v>
      </c>
      <c r="B18" s="6"/>
      <c r="C18" s="6"/>
      <c r="D18" s="6"/>
      <c r="E18" s="6"/>
      <c r="F18" s="6"/>
      <c r="G18" s="6"/>
      <c r="H18" s="6"/>
      <c r="I18" s="6"/>
    </row>
    <row r="19" customFormat="false" ht="15" hidden="false" customHeight="true" outlineLevel="0" collapsed="false">
      <c r="A19" s="34" t="s">
        <v>259</v>
      </c>
      <c r="B19" s="55" t="n">
        <f aca="false">'1_Cover_Assumptions'!B51</f>
        <v>0.119241397584889</v>
      </c>
      <c r="D19" s="11" t="s">
        <v>260</v>
      </c>
    </row>
    <row r="20" customFormat="false" ht="15" hidden="false" customHeight="true" outlineLevel="0" collapsed="false">
      <c r="A20" s="34" t="s">
        <v>261</v>
      </c>
      <c r="B20" s="52" t="n">
        <f aca="false">MIN('6_Balance_Sheet'!B32:H32)</f>
        <v>7</v>
      </c>
      <c r="D20" s="11" t="s">
        <v>262</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2026-05-09T21:11:45Z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