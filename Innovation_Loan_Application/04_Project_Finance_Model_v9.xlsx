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<sst xmlns="http://schemas.openxmlformats.org/spreadsheetml/2006/main" count="292" uniqueCount="261">
  <si>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</si>
  <si>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</si>
  <si>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</si>
  <si>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</si>
  <si>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</si>
  <si>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</si>
  <si>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</si>
  <si>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</si>
  <si>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</si>
  <si>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</si>
  <si>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</si>
  <si>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</si>
  <si>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</si>
  <si>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</si>
  <si>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</si>
  <si>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</si>
  <si>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</si>
  <si>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</si>
  <si>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</si>
  <si>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</si>
  <si>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</si>
  <si>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</si>
  <si>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</si>
  <si>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</si>
  <si>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</si>
  <si>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</si>
  <si>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</si>
  <si>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</si>
  <si>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</si>
  <si>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</si>
  <si>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</si>
  <si>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</si>
  <si>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</si>
  <si>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</si>
  <si>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</si>
  <si>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</si>
  <si>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</si>
  <si>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</si>
  <si>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</si>
  <si>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</si>
  <si>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</si>
  <si>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</si>
  <si>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</si>
  <si>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</si>
  <si>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</si>
  <si>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</si>
  <si>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</si>
  <si>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</si>
  <si>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</si>
  <si>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</si>
  <si>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</si>
  <si>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</si>
  <si>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</t>
  </si>
  <si>
    <t xml:space="preserve">Cyber Security Expert (Dhruv)</t>
  </si>
  <si>
    <t xml:space="preserve">Marketing Lead (Henrique Santos)</t>
  </si>
  <si>
    <t xml:space="preserve">Senior Deception Engineer (hire M1-M3)</t>
  </si>
  <si>
    <t xml:space="preserve">DevSecOps Engineer (hire M1-M3)</t>
  </si>
  <si>
    <t xml:space="preserve">Customer Success Eng (existing)</t>
  </si>
  <si>
    <t xml:space="preserve">Aditya — QA / Compliance Lead (reassigned)</t>
  </si>
  <si>
    <t xml:space="preserve">Marketing Advisor (Diana Polansky — 0.5 FTE part-time, 18m)</t>
  </si>
  <si>
    <t xml:space="preserve">Alan — Cyber Security Advisor (1 day/week, day-rate)</t>
  </si>
  <si>
    <t xml:space="preserve">(£/day × days/mo × months)</t>
  </si>
  <si>
    <t xml:space="preserve">Jon — Advisor (0.5 FTE part-time, £132k FT-equivalent)</t>
  </si>
  <si>
    <t xml:space="preserve">(£600/day × 220 days = £132k FT)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</si>
  <si>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</si>
  <si>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</si>
  <si>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</si>
  <si>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</si>
  <si>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</si>
  <si>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</si>
  <si>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</si>
  <si>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</si>
  <si>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</si>
  <si>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</si>
  <si>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</si>
  <si>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</si>
  <si>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</si>
  <si>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— equity bridge (Y2-Y3 raise) for working capital headroom</t>
  </si>
  <si>
    <t xml:space="preserve">TOTAL PROJECT FINANCING (loan + matched)</t>
  </si>
  <si>
    <t xml:space="preserve">Subsidy intensity (£1M 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</si>
  <si>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</si>
  <si>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</si>
  <si>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</si>
  <si>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</si>
  <si>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</si>
  <si>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</si>
  <si>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</si>
  <si>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</si>
  <si>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</si>
  <si>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</si>
  <si>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</si>
  <si>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</si>
  <si>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</si>
  <si>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</si>
  <si>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</si>
  <si>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</si>
  <si>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</si>
  <si>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</si>
  <si>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</si>
  <si>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</si>
  <si>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</si>
  <si>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</si>
  <si>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</si>
  <si>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</si>
  <si>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</si>
  <si>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</si>
  <si>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</si>
  <si>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</si>
  <si>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</si>
  <si>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</si>
  <si>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</si>
  <si>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</si>
  <si>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</si>
  <si>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</si>
  <si>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</si>
  <si>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</si>
  <si>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</si>
  <si>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</si>
  <si>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</si>
  <si>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</si>
  <si>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</si>
  <si>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</si>
  <si>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</si>
  <si>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</si>
  <si>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</si>
  <si>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</si>
  <si>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</si>
  <si>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</si>
  <si>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</si>
  <si>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</si>
  <si>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</si>
  <si>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</si>
  <si>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</si>
  <si>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</si>
  <si>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</si>
  <si>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</si>
  <si>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</si>
  <si>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</si>
  <si>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</si>
  <si>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</si>
  <si>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</si>
  <si>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</si>
  <si>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</si>
  <si>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</si>
  <si>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</si>
  <si>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</si>
  <si>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</si>
  <si>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</si>
  <si>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</si>
  <si>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</si>
  <si>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</si>
  <si>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</si>
  <si>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</si>
  <si>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</si>
  <si>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</si>
  <si>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</si>
  <si>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</si>
  <si>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</si>
  <si>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</si>
  <si>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</si>
  <si>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</si>
  <si>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</si>
  <si>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</si>
  <si>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</si>
  <si>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</si>
  <si>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</si>
  <si>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</si>
  <si>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</si>
  <si>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</si>
  <si>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</si>
  <si>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</si>
  <si>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</si>
  <si>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</si>
  <si>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</si>
  <si>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</si>
  <si>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</si>
  <si>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</si>
  <si>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</si>
  <si>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</si>
  <si>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</si>
  <si>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</si>
  <si>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</si>
  <si>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</si>
  <si>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</si>
  <si>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</si>
  <si>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</si>
  <si>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</si>
  <si>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</si>
  <si>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</si>
  <si>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</si>
  <si>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</si>
  <si>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</si>
  <si>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Equity raise (Y1 £600k, Y2 £900k, Y3 £400k bridge — total £1.9M)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</si>
  <si>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</si>
  <si>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</si>
  <si>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</si>
  <si>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</si>
  <si>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</si>
  <si>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</si>
  <si>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</si>
  <si>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</si>
  <si>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</si>
  <si>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</si>
  <si>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</si>
  <si>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</si>
  <si>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</si>
  <si>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</si>
  <si>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</si>
  <si>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</si>
  <si>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</si>
  <si>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</si>
  <si>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</si>
  <si>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</si>
  <si>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</si>
  <si>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</si>
  <si>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</si>
  <si>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</si>
  <si>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</si>
  <si>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</si>
  <si>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</si>
  <si>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</si>
  <si>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</si>
  <si>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</si>
  <si>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</si>
  <si>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£1.0M Loan — Cost Category Breakdown (Total eligible £1,274,000)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</si>
  <si>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</si>
  <si>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</si>
  <si>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</si>
  <si>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</si>
  <si>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FTE) + Diana (0.5 FTE part-time advisor)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</si>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</sst>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1000000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110000</v>
      </c>
      <c r="C28" s="15" t="n">
        <v>1</v>
      </c>
      <c r="D28" s="16" t="n">
        <v>18</v>
      </c>
      <c r="E28" s="17" t="n">
        <f aca="false">B28*C28*D28/12</f>
        <v>165000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35000</v>
      </c>
      <c r="C30" s="15" t="n">
        <v>1</v>
      </c>
      <c r="D30" s="16" t="n">
        <v>18</v>
      </c>
      <c r="E30" s="17" t="n">
        <f aca="false">B30*C30*D30/12</f>
        <v>52500</v>
      </c>
    </row>
    <row r="31" customFormat="false" ht="15" hidden="false" customHeight="true" outlineLevel="0" collapsed="false">
      <c r="A31" s="14" t="s">
        <v>55</v>
      </c>
      <c r="B31" s="6" t="n">
        <v>75000</v>
      </c>
      <c r="C31" s="15" t="n">
        <v>1</v>
      </c>
      <c r="D31" s="16" t="n">
        <v>16</v>
      </c>
      <c r="E31" s="17" t="n">
        <f aca="false">B31*C31*D31/12</f>
        <v>100000</v>
      </c>
    </row>
    <row r="32" customFormat="false" ht="15" hidden="false" customHeight="true" outlineLevel="0" collapsed="false">
      <c r="A32" s="14" t="s">
        <v>56</v>
      </c>
      <c r="B32" s="6" t="n">
        <v>65000</v>
      </c>
      <c r="C32" s="15" t="n">
        <v>1</v>
      </c>
      <c r="D32" s="16" t="n">
        <v>16</v>
      </c>
      <c r="E32" s="17" t="n">
        <f aca="false">B32*C32*D32/12</f>
        <v>86666.6666666667</v>
      </c>
    </row>
    <row r="33" customFormat="false" ht="15" hidden="false" customHeight="true" outlineLevel="0" collapsed="false">
      <c r="A33" s="14" t="s">
        <v>57</v>
      </c>
      <c r="B33" s="6" t="n">
        <v>45000</v>
      </c>
      <c r="C33" s="15" t="n">
        <v>1</v>
      </c>
      <c r="D33" s="16" t="n">
        <v>18</v>
      </c>
      <c r="E33" s="17" t="n">
        <f aca="false">B33*C33*D33/12</f>
        <v>67500</v>
      </c>
    </row>
    <row r="34" customFormat="false" ht="15" hidden="false" customHeight="true" outlineLevel="0" collapsed="false">
      <c r="A34" s="14" t="s">
        <v>58</v>
      </c>
      <c r="B34" s="6" t="n">
        <v>33000</v>
      </c>
      <c r="C34" s="15" t="n">
        <v>1</v>
      </c>
      <c r="D34" s="16" t="n">
        <v>18</v>
      </c>
      <c r="E34" s="17" t="n">
        <f aca="false">B34*C34*D34/12</f>
        <v>49500</v>
      </c>
    </row>
    <row r="35" customFormat="false" ht="15" hidden="false" customHeight="true" outlineLevel="0" collapsed="false">
      <c r="A35" s="14" t="s">
        <v>59</v>
      </c>
      <c r="B35" s="6" t="n">
        <v>110000</v>
      </c>
      <c r="C35" s="15" t="n">
        <v>0.5</v>
      </c>
      <c r="D35" s="16" t="n">
        <v>18</v>
      </c>
      <c r="E35" s="17" t="n">
        <f aca="false">B35*C35*D35/12</f>
        <v>82500</v>
      </c>
    </row>
    <row r="36" customFormat="false" ht="15" hidden="false" customHeight="true" outlineLevel="0" collapsed="false">
      <c r="A36" s="14" t="s">
        <v>60</v>
      </c>
      <c r="B36" s="6" t="n">
        <v>800</v>
      </c>
      <c r="C36" s="16" t="n">
        <v>4</v>
      </c>
      <c r="D36" s="16" t="n">
        <v>18</v>
      </c>
      <c r="E36" s="17" t="n">
        <f aca="false">B36*C36*D36</f>
        <v>57600</v>
      </c>
      <c r="F36" s="7" t="s">
        <v>61</v>
      </c>
    </row>
    <row r="37" customFormat="false" ht="15" hidden="false" customHeight="true" outlineLevel="0" collapsed="false">
      <c r="A37" s="14" t="s">
        <v>62</v>
      </c>
      <c r="B37" s="6" t="n">
        <v>132000</v>
      </c>
      <c r="C37" s="15" t="n">
        <v>0.5</v>
      </c>
      <c r="D37" s="16" t="n">
        <v>18</v>
      </c>
      <c r="E37" s="17" t="n">
        <f aca="false">B37*C37*D37/12</f>
        <v>99000</v>
      </c>
      <c r="F37" s="7" t="s">
        <v>63</v>
      </c>
    </row>
    <row r="38" customFormat="false" ht="15" hidden="false" customHeight="true" outlineLevel="0" collapsed="false">
      <c r="A38" s="3" t="s">
        <v>64</v>
      </c>
      <c r="E38" s="18" t="n">
        <f aca="false">SUM(E27:E37)</f>
        <v>989766.666666667</v>
      </c>
    </row>
    <row r="39" customFormat="false" ht="21.75" hidden="false" customHeight="true" outlineLevel="0" collapsed="false"/>
    <row r="40" customFormat="false" ht="15" hidden="false" customHeight="true" outlineLevel="0" collapsed="false">
      <c r="A40" s="19" t="s">
        <v>65</v>
      </c>
    </row>
    <row r="41" customFormat="false" ht="15" hidden="false" customHeight="true" outlineLevel="0" collapsed="false">
      <c r="A41" s="13" t="s">
        <v>66</v>
      </c>
    </row>
    <row r="42" customFormat="false" ht="15" hidden="false" customHeight="true" outlineLevel="0" collapsed="false">
      <c r="A42" s="14" t="s">
        <v>67</v>
      </c>
      <c r="E42" s="6" t="n">
        <v>90000</v>
      </c>
    </row>
    <row r="43" customFormat="false" ht="15" hidden="false" customHeight="true" outlineLevel="0" collapsed="false">
      <c r="A43" s="14" t="s">
        <v>68</v>
      </c>
      <c r="E43" s="6" t="n">
        <v>70000</v>
      </c>
    </row>
    <row r="44" customFormat="false" ht="15" hidden="false" customHeight="true" outlineLevel="0" collapsed="false">
      <c r="A44" s="14" t="s">
        <v>69</v>
      </c>
      <c r="E44" s="6" t="n">
        <v>45000</v>
      </c>
    </row>
    <row r="45" customFormat="false" ht="15" hidden="false" customHeight="true" outlineLevel="0" collapsed="false">
      <c r="A45" s="14" t="s">
        <v>70</v>
      </c>
      <c r="E45" s="6" t="n">
        <v>30000</v>
      </c>
    </row>
    <row r="46" customFormat="false" ht="15" hidden="false" customHeight="true" outlineLevel="0" collapsed="false">
      <c r="A46" s="14" t="s">
        <v>71</v>
      </c>
      <c r="E46" s="6" t="n">
        <v>25000</v>
      </c>
    </row>
    <row r="47" customFormat="false" ht="15" hidden="false" customHeight="true" outlineLevel="0" collapsed="false">
      <c r="A47" s="14" t="s">
        <v>72</v>
      </c>
      <c r="E47" s="6" t="n">
        <v>15000</v>
      </c>
    </row>
    <row r="48" customFormat="false" ht="15" hidden="false" customHeight="true" outlineLevel="0" collapsed="false">
      <c r="A48" s="14" t="s">
        <v>73</v>
      </c>
      <c r="E48" s="6" t="n">
        <v>95000</v>
      </c>
    </row>
    <row r="49" customFormat="false" ht="37.5" hidden="false" customHeight="true" outlineLevel="0" collapsed="false">
      <c r="A49" s="3" t="s">
        <v>74</v>
      </c>
      <c r="E49" s="18" t="n">
        <f aca="false">SUM(E42:E48)</f>
        <v>370000</v>
      </c>
    </row>
    <row r="50" customFormat="false" ht="15" hidden="false" customHeight="true" outlineLevel="0" collapsed="false">
      <c r="A50" s="7" t="s">
        <v>75</v>
      </c>
    </row>
    <row r="51" customFormat="false" ht="15" hidden="false" customHeight="true" outlineLevel="0" collapsed="false">
      <c r="A51" s="13" t="s">
        <v>76</v>
      </c>
      <c r="E51" s="20" t="n">
        <f aca="false">E38+E49</f>
        <v>1359766.66666667</v>
      </c>
    </row>
    <row r="52" customFormat="false" ht="15" hidden="false" customHeight="true" outlineLevel="0" collapsed="false">
      <c r="A52" s="14" t="s">
        <v>77</v>
      </c>
      <c r="E52" s="6" t="n">
        <v>1000000</v>
      </c>
    </row>
    <row r="53" customFormat="false" ht="15" hidden="false" customHeight="true" outlineLevel="0" collapsed="false">
      <c r="A53" s="13" t="s">
        <v>78</v>
      </c>
      <c r="E53" s="20" t="n">
        <f aca="false">E51+E52</f>
        <v>2359766.66666667</v>
      </c>
    </row>
    <row r="54" customFormat="false" ht="15" hidden="false" customHeight="true" outlineLevel="0" collapsed="false"/>
    <row r="55" customFormat="false" ht="15" hidden="false" customHeight="true" outlineLevel="0" collapsed="false">
      <c r="A55" s="3" t="s">
        <v>79</v>
      </c>
      <c r="B55" s="21" t="n">
        <f aca="false">1000000/E51</f>
        <v>0.735420292697277</v>
      </c>
      <c r="D55" s="11" t="s">
        <v>80</v>
      </c>
    </row>
    <row r="56" customFormat="false" ht="37.5" hidden="false" customHeight="true" outlineLevel="0" collapsed="false">
      <c r="A56" s="7" t="s">
        <v>81</v>
      </c>
    </row>
    <row r="57" customFormat="false" ht="15" hidden="false" customHeight="true" outlineLevel="0" collapsed="false">
      <c r="A57" s="3" t="s">
        <v>82</v>
      </c>
      <c r="B57" s="1" t="str">
        <f aca="false">IF(B55&lt;=0.8,"COMPLIANT","REVIEW")</f>
        <v>COMPLIANT</v>
      </c>
    </row>
    <row r="58" customFormat="false" ht="15" hidden="false" customHeight="true" outlineLevel="0" collapsed="false"/>
  </sheetData>
  <mergeCells count="4">
    <mergeCell ref="A1:N1"/>
    <mergeCell ref="A10:F10"/>
    <mergeCell ref="A22:F2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83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2" t="s">
        <v>84</v>
      </c>
      <c r="B3" s="22" t="s">
        <v>85</v>
      </c>
      <c r="C3" s="22" t="s">
        <v>86</v>
      </c>
      <c r="D3" s="22" t="s">
        <v>87</v>
      </c>
      <c r="E3" s="22" t="s">
        <v>88</v>
      </c>
      <c r="F3" s="22" t="s">
        <v>89</v>
      </c>
    </row>
    <row r="4" customFormat="false" ht="15" hidden="false" customHeight="true" outlineLevel="0" collapsed="false">
      <c r="A4" s="23" t="n">
        <v>1</v>
      </c>
      <c r="B4" s="23" t="s">
        <v>90</v>
      </c>
      <c r="C4" s="24" t="s">
        <v>21</v>
      </c>
      <c r="D4" s="6" t="n">
        <v>200000</v>
      </c>
      <c r="E4" s="17" t="n">
        <f aca="false">D4</f>
        <v>200000</v>
      </c>
      <c r="F4" s="14" t="s">
        <v>91</v>
      </c>
    </row>
    <row r="5" customFormat="false" ht="15" hidden="false" customHeight="true" outlineLevel="0" collapsed="false">
      <c r="A5" s="23" t="n">
        <v>2</v>
      </c>
      <c r="B5" s="23" t="s">
        <v>92</v>
      </c>
      <c r="C5" s="24" t="s">
        <v>93</v>
      </c>
      <c r="D5" s="6" t="n">
        <v>200000</v>
      </c>
      <c r="E5" s="17" t="n">
        <f aca="false">E4+D5</f>
        <v>400000</v>
      </c>
      <c r="F5" s="14" t="s">
        <v>94</v>
      </c>
    </row>
    <row r="6" customFormat="false" ht="15" hidden="false" customHeight="true" outlineLevel="0" collapsed="false">
      <c r="A6" s="23" t="n">
        <v>3</v>
      </c>
      <c r="B6" s="23" t="s">
        <v>95</v>
      </c>
      <c r="C6" s="24" t="s">
        <v>96</v>
      </c>
      <c r="D6" s="6" t="n">
        <v>175000</v>
      </c>
      <c r="E6" s="17" t="n">
        <f aca="false">E5+D6</f>
        <v>575000</v>
      </c>
      <c r="F6" s="14" t="s">
        <v>97</v>
      </c>
    </row>
    <row r="7" customFormat="false" ht="15" hidden="false" customHeight="true" outlineLevel="0" collapsed="false">
      <c r="A7" s="23" t="n">
        <v>4</v>
      </c>
      <c r="B7" s="23" t="s">
        <v>98</v>
      </c>
      <c r="C7" s="24" t="s">
        <v>99</v>
      </c>
      <c r="D7" s="6" t="n">
        <v>175000</v>
      </c>
      <c r="E7" s="17" t="n">
        <f aca="false">E6+D7</f>
        <v>750000</v>
      </c>
      <c r="F7" s="14" t="s">
        <v>100</v>
      </c>
    </row>
    <row r="8" customFormat="false" ht="15" hidden="false" customHeight="true" outlineLevel="0" collapsed="false">
      <c r="A8" s="23" t="n">
        <v>5</v>
      </c>
      <c r="B8" s="23" t="s">
        <v>101</v>
      </c>
      <c r="C8" s="24" t="s">
        <v>102</v>
      </c>
      <c r="D8" s="6" t="n">
        <v>150000</v>
      </c>
      <c r="E8" s="17" t="n">
        <f aca="false">E7+D8</f>
        <v>900000</v>
      </c>
      <c r="F8" s="14" t="s">
        <v>103</v>
      </c>
    </row>
    <row r="9" customFormat="false" ht="15" hidden="false" customHeight="true" outlineLevel="0" collapsed="false">
      <c r="A9" s="23" t="n">
        <v>6</v>
      </c>
      <c r="B9" s="23" t="s">
        <v>104</v>
      </c>
      <c r="C9" s="24" t="s">
        <v>105</v>
      </c>
      <c r="D9" s="6" t="n">
        <v>100000</v>
      </c>
      <c r="E9" s="17" t="n">
        <f aca="false">E8+D9</f>
        <v>1000000</v>
      </c>
      <c r="F9" s="14" t="s">
        <v>106</v>
      </c>
    </row>
    <row r="10" customFormat="false" ht="15" hidden="false" customHeight="true" outlineLevel="0" collapsed="false">
      <c r="A10" s="13" t="s">
        <v>107</v>
      </c>
      <c r="D10" s="20" t="n">
        <f aca="false">SUM(D4:D9)</f>
        <v>1000000</v>
      </c>
      <c r="E10" s="20" t="n">
        <f aca="false">E9</f>
        <v>1000000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108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109</v>
      </c>
      <c r="B3" s="13" t="s">
        <v>110</v>
      </c>
      <c r="C3" s="13" t="s">
        <v>111</v>
      </c>
      <c r="D3" s="13" t="s">
        <v>112</v>
      </c>
      <c r="E3" s="13" t="s">
        <v>113</v>
      </c>
      <c r="F3" s="13" t="s">
        <v>114</v>
      </c>
      <c r="G3" s="13" t="s">
        <v>115</v>
      </c>
      <c r="H3" s="13" t="s">
        <v>116</v>
      </c>
      <c r="I3" s="13" t="s">
        <v>117</v>
      </c>
    </row>
    <row r="4" customFormat="false" ht="15" hidden="false" customHeight="true" outlineLevel="0" collapsed="false">
      <c r="A4" s="14" t="s">
        <v>118</v>
      </c>
      <c r="B4" s="14" t="s">
        <v>119</v>
      </c>
      <c r="C4" s="6" t="n">
        <v>0</v>
      </c>
      <c r="D4" s="6" t="n">
        <v>750000</v>
      </c>
      <c r="E4" s="25" t="n">
        <f aca="false">'1_Cover_Assumptions'!$B$19</f>
        <v>0.037</v>
      </c>
      <c r="F4" s="17" t="n">
        <f aca="false">(C4+D4/2)*E4</f>
        <v>13875</v>
      </c>
      <c r="G4" s="6" t="n">
        <v>0</v>
      </c>
      <c r="H4" s="6" t="n">
        <v>0</v>
      </c>
      <c r="I4" s="17" t="n">
        <f aca="false">C4+D4+F4-G4-H4</f>
        <v>763875</v>
      </c>
    </row>
    <row r="5" customFormat="false" ht="15" hidden="false" customHeight="true" outlineLevel="0" collapsed="false">
      <c r="A5" s="14" t="s">
        <v>120</v>
      </c>
      <c r="B5" s="14" t="s">
        <v>121</v>
      </c>
      <c r="C5" s="17" t="n">
        <f aca="false">I4</f>
        <v>763875</v>
      </c>
      <c r="D5" s="6" t="n">
        <v>250000</v>
      </c>
      <c r="E5" s="26" t="n">
        <f aca="false">'1_Cover_Assumptions'!$B$19*0.5</f>
        <v>0.0185</v>
      </c>
      <c r="F5" s="17" t="n">
        <f aca="false">(C5+D5/2)*E5</f>
        <v>16444.1875</v>
      </c>
      <c r="G5" s="6" t="n">
        <v>0</v>
      </c>
      <c r="H5" s="6" t="n">
        <v>0</v>
      </c>
      <c r="I5" s="17" t="n">
        <f aca="false">C5+D5+F5-G5-H5</f>
        <v>1030319.1875</v>
      </c>
    </row>
    <row r="6" customFormat="false" ht="15" hidden="false" customHeight="true" outlineLevel="0" collapsed="false">
      <c r="A6" s="14" t="s">
        <v>122</v>
      </c>
      <c r="B6" s="14" t="s">
        <v>123</v>
      </c>
      <c r="C6" s="17" t="n">
        <f aca="false">I5</f>
        <v>1030319.1875</v>
      </c>
      <c r="D6" s="6" t="n">
        <v>0</v>
      </c>
      <c r="E6" s="25" t="n">
        <f aca="false">'1_Cover_Assumptions'!$B$21</f>
        <v>0.074</v>
      </c>
      <c r="F6" s="17" t="n">
        <f aca="false">C6*E6</f>
        <v>76243.619875</v>
      </c>
      <c r="G6" s="17" t="n">
        <f aca="false">$I$5/5</f>
        <v>206063.8375</v>
      </c>
      <c r="H6" s="17" t="n">
        <f aca="false">F6</f>
        <v>76243.619875</v>
      </c>
      <c r="I6" s="17" t="n">
        <f aca="false">C6+D6+F6-G6-H6</f>
        <v>824255.35</v>
      </c>
    </row>
    <row r="7" customFormat="false" ht="15" hidden="false" customHeight="true" outlineLevel="0" collapsed="false">
      <c r="A7" s="14" t="s">
        <v>124</v>
      </c>
      <c r="B7" s="14" t="s">
        <v>125</v>
      </c>
      <c r="C7" s="17" t="n">
        <f aca="false">I6</f>
        <v>824255.35</v>
      </c>
      <c r="D7" s="6" t="n">
        <v>0</v>
      </c>
      <c r="E7" s="25" t="n">
        <f aca="false">'1_Cover_Assumptions'!$B$21</f>
        <v>0.074</v>
      </c>
      <c r="F7" s="17" t="n">
        <f aca="false">C7*E7</f>
        <v>60994.8959</v>
      </c>
      <c r="G7" s="17" t="n">
        <f aca="false">$I$5/5</f>
        <v>206063.8375</v>
      </c>
      <c r="H7" s="17" t="n">
        <f aca="false">F7</f>
        <v>60994.8959</v>
      </c>
      <c r="I7" s="17" t="n">
        <f aca="false">C7+D7+F7-G7-H7</f>
        <v>618191.5125</v>
      </c>
    </row>
    <row r="8" customFormat="false" ht="15" hidden="false" customHeight="true" outlineLevel="0" collapsed="false">
      <c r="A8" s="14" t="s">
        <v>126</v>
      </c>
      <c r="B8" s="14" t="s">
        <v>127</v>
      </c>
      <c r="C8" s="17" t="n">
        <f aca="false">I7</f>
        <v>618191.5125</v>
      </c>
      <c r="D8" s="6" t="n">
        <v>0</v>
      </c>
      <c r="E8" s="25" t="n">
        <f aca="false">'1_Cover_Assumptions'!$B$21</f>
        <v>0.074</v>
      </c>
      <c r="F8" s="17" t="n">
        <f aca="false">C8*E8</f>
        <v>45746.171925</v>
      </c>
      <c r="G8" s="17" t="n">
        <f aca="false">$I$5/5</f>
        <v>206063.8375</v>
      </c>
      <c r="H8" s="17" t="n">
        <f aca="false">F8</f>
        <v>45746.171925</v>
      </c>
      <c r="I8" s="17" t="n">
        <f aca="false">C8+D8+F8-G8-H8</f>
        <v>412127.675</v>
      </c>
    </row>
    <row r="9" customFormat="false" ht="15" hidden="false" customHeight="true" outlineLevel="0" collapsed="false">
      <c r="A9" s="14" t="s">
        <v>128</v>
      </c>
      <c r="B9" s="14" t="s">
        <v>129</v>
      </c>
      <c r="C9" s="17" t="n">
        <f aca="false">I8</f>
        <v>412127.675</v>
      </c>
      <c r="D9" s="6" t="n">
        <v>0</v>
      </c>
      <c r="E9" s="25" t="n">
        <f aca="false">'1_Cover_Assumptions'!$B$21</f>
        <v>0.074</v>
      </c>
      <c r="F9" s="17" t="n">
        <f aca="false">C9*E9</f>
        <v>30497.44795</v>
      </c>
      <c r="G9" s="17" t="n">
        <f aca="false">$I$5/5</f>
        <v>206063.8375</v>
      </c>
      <c r="H9" s="17" t="n">
        <f aca="false">F9</f>
        <v>30497.44795</v>
      </c>
      <c r="I9" s="17" t="n">
        <f aca="false">C9+D9+F9-G9-H9</f>
        <v>206063.8375</v>
      </c>
    </row>
    <row r="10" customFormat="false" ht="15" hidden="false" customHeight="true" outlineLevel="0" collapsed="false">
      <c r="A10" s="14" t="s">
        <v>130</v>
      </c>
      <c r="B10" s="14" t="s">
        <v>131</v>
      </c>
      <c r="C10" s="17" t="n">
        <f aca="false">I9</f>
        <v>206063.8375</v>
      </c>
      <c r="D10" s="6" t="n">
        <v>0</v>
      </c>
      <c r="E10" s="25" t="n">
        <f aca="false">'1_Cover_Assumptions'!$B$21</f>
        <v>0.074</v>
      </c>
      <c r="F10" s="17" t="n">
        <f aca="false">C10*E10</f>
        <v>15248.723975</v>
      </c>
      <c r="G10" s="17" t="n">
        <f aca="false">$I$5/5</f>
        <v>206063.8375</v>
      </c>
      <c r="H10" s="17" t="n">
        <f aca="false">F10</f>
        <v>15248.723975</v>
      </c>
      <c r="I10" s="17" t="n">
        <f aca="false">C10+D10+F10-G10-H10</f>
        <v>5.63886715099216E-011</v>
      </c>
    </row>
    <row r="11" customFormat="false" ht="15" hidden="false" customHeight="true" outlineLevel="0" collapsed="false">
      <c r="A11" s="13" t="s">
        <v>132</v>
      </c>
      <c r="D11" s="27" t="n">
        <f aca="false">SUM(D4:D10)</f>
        <v>1000000</v>
      </c>
      <c r="F11" s="27" t="n">
        <f aca="false">SUM(F4:F10)</f>
        <v>259050.047125</v>
      </c>
      <c r="G11" s="27" t="n">
        <f aca="false">SUM(G4:G10)</f>
        <v>1030319.1875</v>
      </c>
      <c r="H11" s="27" t="n">
        <f aca="false">SUM(H4:H10)</f>
        <v>228730.859625</v>
      </c>
    </row>
    <row r="13" customFormat="false" ht="15" hidden="false" customHeight="true" outlineLevel="0" collapsed="false">
      <c r="A13" s="3" t="s">
        <v>133</v>
      </c>
    </row>
    <row r="14" customFormat="false" ht="15" hidden="false" customHeight="true" outlineLevel="0" collapsed="false">
      <c r="A14" s="28" t="s">
        <v>134</v>
      </c>
      <c r="B14" s="28"/>
      <c r="C14" s="28"/>
      <c r="D14" s="28"/>
      <c r="E14" s="28"/>
      <c r="F14" s="28"/>
      <c r="G14" s="28"/>
      <c r="H14" s="28"/>
      <c r="I14" s="28"/>
    </row>
    <row r="15" customFormat="false" ht="15" hidden="false" customHeight="true" outlineLevel="0" collapsed="false">
      <c r="A15" s="28" t="s">
        <v>135</v>
      </c>
      <c r="B15" s="28"/>
      <c r="C15" s="28"/>
      <c r="D15" s="28"/>
      <c r="E15" s="28"/>
      <c r="F15" s="28"/>
      <c r="G15" s="28"/>
      <c r="H15" s="28"/>
      <c r="I15" s="28"/>
    </row>
    <row r="16" customFormat="false" ht="15" hidden="false" customHeight="true" outlineLevel="0" collapsed="false">
      <c r="A16" s="28" t="s">
        <v>136</v>
      </c>
      <c r="B16" s="28"/>
      <c r="C16" s="28"/>
      <c r="D16" s="28"/>
      <c r="E16" s="28"/>
      <c r="F16" s="28"/>
      <c r="G16" s="28"/>
      <c r="H16" s="28"/>
      <c r="I16" s="28"/>
    </row>
    <row r="17" customFormat="false" ht="15" hidden="false" customHeight="true" outlineLevel="0" collapsed="false">
      <c r="A17" s="28" t="s">
        <v>137</v>
      </c>
      <c r="B17" s="28"/>
      <c r="C17" s="28"/>
      <c r="D17" s="28"/>
      <c r="E17" s="28"/>
      <c r="F17" s="28"/>
      <c r="G17" s="28"/>
      <c r="H17" s="28"/>
      <c r="I17" s="28"/>
    </row>
    <row r="18" customFormat="false" ht="15" hidden="false" customHeight="true" outlineLevel="0" collapsed="false">
      <c r="A18" s="28" t="s">
        <v>138</v>
      </c>
      <c r="B18" s="28"/>
      <c r="C18" s="28"/>
      <c r="D18" s="28"/>
      <c r="E18" s="28"/>
      <c r="F18" s="28"/>
      <c r="G18" s="28"/>
      <c r="H18" s="28"/>
      <c r="I18" s="28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139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140</v>
      </c>
      <c r="B3" s="22" t="s">
        <v>141</v>
      </c>
      <c r="C3" s="22" t="s">
        <v>142</v>
      </c>
      <c r="D3" s="22" t="s">
        <v>143</v>
      </c>
      <c r="E3" s="22" t="s">
        <v>144</v>
      </c>
      <c r="F3" s="22" t="s">
        <v>145</v>
      </c>
      <c r="G3" s="22" t="s">
        <v>146</v>
      </c>
      <c r="H3" s="22" t="s">
        <v>147</v>
      </c>
    </row>
    <row r="4" customFormat="false" ht="15" hidden="false" customHeight="true" outlineLevel="0" collapsed="false">
      <c r="A4" s="14" t="s">
        <v>148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149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150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151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152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153</v>
      </c>
      <c r="B9" s="29" t="n">
        <f aca="false">SUM(B4:B8)</f>
        <v>50</v>
      </c>
      <c r="C9" s="29" t="n">
        <f aca="false">SUM(C4:C8)</f>
        <v>380</v>
      </c>
      <c r="D9" s="29" t="n">
        <f aca="false">SUM(D4:D8)</f>
        <v>1140</v>
      </c>
      <c r="E9" s="29" t="n">
        <f aca="false">SUM(E4:E8)</f>
        <v>2800</v>
      </c>
      <c r="F9" s="29" t="n">
        <f aca="false">SUM(F4:F8)</f>
        <v>5300</v>
      </c>
      <c r="G9" s="29" t="n">
        <f aca="false">SUM(G4:G8)</f>
        <v>9050</v>
      </c>
      <c r="H9" s="29" t="n">
        <f aca="false">SUM(H4:H8)</f>
        <v>14450</v>
      </c>
    </row>
    <row r="11" customFormat="false" ht="15" hidden="false" customHeight="true" outlineLevel="0" collapsed="false">
      <c r="A11" s="30" t="s">
        <v>154</v>
      </c>
    </row>
    <row r="12" customFormat="false" ht="15" hidden="false" customHeight="true" outlineLevel="0" collapsed="false">
      <c r="A12" s="14" t="s">
        <v>155</v>
      </c>
      <c r="B12" s="8" t="n">
        <v>40</v>
      </c>
      <c r="C12" s="8" t="n">
        <v>70</v>
      </c>
      <c r="D12" s="8" t="n">
        <v>110</v>
      </c>
      <c r="E12" s="8" t="n">
        <v>180</v>
      </c>
      <c r="F12" s="8" t="n">
        <v>300</v>
      </c>
      <c r="G12" s="8" t="n">
        <v>480</v>
      </c>
      <c r="H12" s="8" t="n">
        <v>720</v>
      </c>
    </row>
    <row r="13" customFormat="false" ht="15" hidden="false" customHeight="true" outlineLevel="0" collapsed="false">
      <c r="A13" s="14" t="s">
        <v>156</v>
      </c>
      <c r="B13" s="8" t="n">
        <v>25</v>
      </c>
      <c r="C13" s="8" t="n">
        <v>35</v>
      </c>
      <c r="D13" s="8" t="n">
        <v>45</v>
      </c>
      <c r="E13" s="8" t="n">
        <v>60</v>
      </c>
      <c r="F13" s="8" t="n">
        <v>80</v>
      </c>
      <c r="G13" s="8" t="n">
        <v>110</v>
      </c>
      <c r="H13" s="8" t="n">
        <v>150</v>
      </c>
    </row>
    <row r="14" customFormat="false" ht="15" hidden="false" customHeight="true" outlineLevel="0" collapsed="false">
      <c r="A14" s="14" t="s">
        <v>157</v>
      </c>
      <c r="B14" s="8" t="n">
        <v>15</v>
      </c>
      <c r="C14" s="8" t="n">
        <v>35</v>
      </c>
      <c r="D14" s="8" t="n">
        <v>90</v>
      </c>
      <c r="E14" s="8" t="n">
        <v>180</v>
      </c>
      <c r="F14" s="8" t="n">
        <v>320</v>
      </c>
      <c r="G14" s="8" t="n">
        <v>510</v>
      </c>
      <c r="H14" s="8" t="n">
        <v>780</v>
      </c>
    </row>
    <row r="15" customFormat="false" ht="15" hidden="false" customHeight="true" outlineLevel="0" collapsed="false">
      <c r="A15" s="3" t="s">
        <v>158</v>
      </c>
      <c r="B15" s="31" t="n">
        <f aca="false">SUM(B12:B14)</f>
        <v>80</v>
      </c>
      <c r="C15" s="31" t="n">
        <f aca="false">SUM(C12:C14)</f>
        <v>140</v>
      </c>
      <c r="D15" s="31" t="n">
        <f aca="false">SUM(D12:D14)</f>
        <v>245</v>
      </c>
      <c r="E15" s="31" t="n">
        <f aca="false">SUM(E12:E14)</f>
        <v>420</v>
      </c>
      <c r="F15" s="31" t="n">
        <f aca="false">SUM(F12:F14)</f>
        <v>700</v>
      </c>
      <c r="G15" s="31" t="n">
        <f aca="false">SUM(G12:G14)</f>
        <v>1100</v>
      </c>
      <c r="H15" s="31" t="n">
        <f aca="false">SUM(H12:H14)</f>
        <v>1650</v>
      </c>
    </row>
    <row r="17" customFormat="false" ht="15" hidden="false" customHeight="true" outlineLevel="0" collapsed="false">
      <c r="A17" s="32" t="s">
        <v>159</v>
      </c>
      <c r="B17" s="33" t="n">
        <f aca="false">B9-B15</f>
        <v>-30</v>
      </c>
      <c r="C17" s="33" t="n">
        <f aca="false">C9-C15</f>
        <v>240</v>
      </c>
      <c r="D17" s="33" t="n">
        <f aca="false">D9-D15</f>
        <v>895</v>
      </c>
      <c r="E17" s="33" t="n">
        <f aca="false">E9-E15</f>
        <v>2380</v>
      </c>
      <c r="F17" s="33" t="n">
        <f aca="false">F9-F15</f>
        <v>4600</v>
      </c>
      <c r="G17" s="33" t="n">
        <f aca="false">G9-G15</f>
        <v>7950</v>
      </c>
      <c r="H17" s="33" t="n">
        <f aca="false">H9-H15</f>
        <v>12800</v>
      </c>
    </row>
    <row r="18" customFormat="false" ht="15" hidden="false" customHeight="true" outlineLevel="0" collapsed="false">
      <c r="A18" s="11" t="s">
        <v>160</v>
      </c>
      <c r="B18" s="26" t="n">
        <f aca="false">IFERROR(B17/B9,0)</f>
        <v>-0.6</v>
      </c>
      <c r="C18" s="26" t="n">
        <f aca="false">IFERROR(C17/C9,0)</f>
        <v>0.631578947368421</v>
      </c>
      <c r="D18" s="26" t="n">
        <f aca="false">IFERROR(D17/D9,0)</f>
        <v>0.785087719298246</v>
      </c>
      <c r="E18" s="26" t="n">
        <f aca="false">IFERROR(E17/E9,0)</f>
        <v>0.85</v>
      </c>
      <c r="F18" s="26" t="n">
        <f aca="false">IFERROR(F17/F9,0)</f>
        <v>0.867924528301887</v>
      </c>
      <c r="G18" s="26" t="n">
        <f aca="false">IFERROR(G17/G9,0)</f>
        <v>0.878453038674033</v>
      </c>
      <c r="H18" s="26" t="n">
        <f aca="false">IFERROR(H17/H9,0)</f>
        <v>0.885813148788927</v>
      </c>
    </row>
    <row r="20" customFormat="false" ht="15" hidden="false" customHeight="true" outlineLevel="0" collapsed="false">
      <c r="A20" s="30" t="s">
        <v>161</v>
      </c>
    </row>
    <row r="21" customFormat="false" ht="15" hidden="false" customHeight="true" outlineLevel="0" collapsed="false">
      <c r="A21" s="14" t="s">
        <v>162</v>
      </c>
      <c r="B21" s="8" t="n">
        <v>240</v>
      </c>
      <c r="C21" s="8" t="n">
        <v>440</v>
      </c>
      <c r="D21" s="8" t="n">
        <v>580</v>
      </c>
      <c r="E21" s="8" t="n">
        <v>800</v>
      </c>
      <c r="F21" s="8" t="n">
        <v>1100</v>
      </c>
      <c r="G21" s="8" t="n">
        <v>1400</v>
      </c>
      <c r="H21" s="8" t="n">
        <v>1700</v>
      </c>
    </row>
    <row r="22" customFormat="false" ht="15" hidden="false" customHeight="true" outlineLevel="0" collapsed="false">
      <c r="A22" s="14" t="s">
        <v>163</v>
      </c>
      <c r="B22" s="8" t="n">
        <v>50</v>
      </c>
      <c r="C22" s="8" t="n">
        <v>100</v>
      </c>
      <c r="D22" s="8" t="n">
        <v>170</v>
      </c>
      <c r="E22" s="8" t="n">
        <v>280</v>
      </c>
      <c r="F22" s="8" t="n">
        <v>420</v>
      </c>
      <c r="G22" s="8" t="n">
        <v>580</v>
      </c>
      <c r="H22" s="8" t="n">
        <v>760</v>
      </c>
    </row>
    <row r="23" customFormat="false" ht="15" hidden="false" customHeight="true" outlineLevel="0" collapsed="false">
      <c r="A23" s="14" t="s">
        <v>164</v>
      </c>
      <c r="B23" s="8" t="n">
        <v>130</v>
      </c>
      <c r="C23" s="8" t="n">
        <v>180</v>
      </c>
      <c r="D23" s="8" t="n">
        <v>230</v>
      </c>
      <c r="E23" s="8" t="n">
        <v>290</v>
      </c>
      <c r="F23" s="8" t="n">
        <v>350</v>
      </c>
      <c r="G23" s="8" t="n">
        <v>410</v>
      </c>
      <c r="H23" s="8" t="n">
        <v>470</v>
      </c>
    </row>
    <row r="24" customFormat="false" ht="15" hidden="false" customHeight="true" outlineLevel="0" collapsed="false">
      <c r="A24" s="14" t="s">
        <v>165</v>
      </c>
      <c r="B24" s="8" t="n">
        <v>25</v>
      </c>
      <c r="C24" s="8" t="n">
        <v>50</v>
      </c>
      <c r="D24" s="8" t="n">
        <v>90</v>
      </c>
      <c r="E24" s="8" t="n">
        <v>150</v>
      </c>
      <c r="F24" s="8" t="n">
        <v>240</v>
      </c>
      <c r="G24" s="8" t="n">
        <v>370</v>
      </c>
      <c r="H24" s="8" t="n">
        <v>540</v>
      </c>
    </row>
    <row r="25" customFormat="false" ht="15" hidden="false" customHeight="true" outlineLevel="0" collapsed="false">
      <c r="A25" s="14" t="s">
        <v>166</v>
      </c>
      <c r="B25" s="8" t="n">
        <v>15</v>
      </c>
      <c r="C25" s="8" t="n">
        <v>25</v>
      </c>
      <c r="D25" s="8" t="n">
        <v>40</v>
      </c>
      <c r="E25" s="8" t="n">
        <v>65</v>
      </c>
      <c r="F25" s="8" t="n">
        <v>95</v>
      </c>
      <c r="G25" s="8" t="n">
        <v>130</v>
      </c>
      <c r="H25" s="8" t="n">
        <v>170</v>
      </c>
    </row>
    <row r="26" customFormat="false" ht="15" hidden="false" customHeight="true" outlineLevel="0" collapsed="false">
      <c r="A26" s="14" t="s">
        <v>167</v>
      </c>
      <c r="B26" s="8" t="n">
        <v>25</v>
      </c>
      <c r="C26" s="8" t="n">
        <v>40</v>
      </c>
      <c r="D26" s="8" t="n">
        <v>60</v>
      </c>
      <c r="E26" s="8" t="n">
        <v>80</v>
      </c>
      <c r="F26" s="8" t="n">
        <v>110</v>
      </c>
      <c r="G26" s="8" t="n">
        <v>140</v>
      </c>
      <c r="H26" s="8" t="n">
        <v>170</v>
      </c>
    </row>
    <row r="27" customFormat="false" ht="15" hidden="false" customHeight="true" outlineLevel="0" collapsed="false">
      <c r="A27" s="14" t="s">
        <v>168</v>
      </c>
      <c r="B27" s="8" t="n">
        <v>12</v>
      </c>
      <c r="C27" s="8" t="n">
        <v>20</v>
      </c>
      <c r="D27" s="8" t="n">
        <v>30</v>
      </c>
      <c r="E27" s="8" t="n">
        <v>45</v>
      </c>
      <c r="F27" s="8" t="n">
        <v>60</v>
      </c>
      <c r="G27" s="8" t="n">
        <v>75</v>
      </c>
      <c r="H27" s="8" t="n">
        <v>90</v>
      </c>
    </row>
    <row r="28" customFormat="false" ht="15" hidden="false" customHeight="true" outlineLevel="0" collapsed="false">
      <c r="A28" s="14" t="s">
        <v>169</v>
      </c>
      <c r="B28" s="8" t="n">
        <v>20</v>
      </c>
      <c r="C28" s="8" t="n">
        <v>35</v>
      </c>
      <c r="D28" s="8" t="n">
        <v>55</v>
      </c>
      <c r="E28" s="8" t="n">
        <v>85</v>
      </c>
      <c r="F28" s="8" t="n">
        <v>120</v>
      </c>
      <c r="G28" s="8" t="n">
        <v>160</v>
      </c>
      <c r="H28" s="8" t="n">
        <v>200</v>
      </c>
    </row>
    <row r="29" customFormat="false" ht="15" hidden="false" customHeight="true" outlineLevel="0" collapsed="false">
      <c r="A29" s="3" t="s">
        <v>170</v>
      </c>
      <c r="B29" s="31" t="n">
        <f aca="false">SUM(B21:B28)</f>
        <v>517</v>
      </c>
      <c r="C29" s="31" t="n">
        <f aca="false">SUM(C21:C28)</f>
        <v>890</v>
      </c>
      <c r="D29" s="31" t="n">
        <f aca="false">SUM(D21:D28)</f>
        <v>1255</v>
      </c>
      <c r="E29" s="31" t="n">
        <f aca="false">SUM(E21:E28)</f>
        <v>1795</v>
      </c>
      <c r="F29" s="31" t="n">
        <f aca="false">SUM(F21:F28)</f>
        <v>2495</v>
      </c>
      <c r="G29" s="31" t="n">
        <f aca="false">SUM(G21:G28)</f>
        <v>3265</v>
      </c>
      <c r="H29" s="31" t="n">
        <f aca="false">SUM(H21:H28)</f>
        <v>4100</v>
      </c>
    </row>
    <row r="31" customFormat="false" ht="15" hidden="false" customHeight="true" outlineLevel="0" collapsed="false">
      <c r="A31" s="32" t="s">
        <v>171</v>
      </c>
      <c r="B31" s="33" t="n">
        <f aca="false">B17-B29</f>
        <v>-547</v>
      </c>
      <c r="C31" s="33" t="n">
        <f aca="false">C17-C29</f>
        <v>-650</v>
      </c>
      <c r="D31" s="33" t="n">
        <f aca="false">D17-D29</f>
        <v>-360</v>
      </c>
      <c r="E31" s="33" t="n">
        <f aca="false">E17-E29</f>
        <v>585</v>
      </c>
      <c r="F31" s="33" t="n">
        <f aca="false">F17-F29</f>
        <v>2105</v>
      </c>
      <c r="G31" s="33" t="n">
        <f aca="false">G17-G29</f>
        <v>4685</v>
      </c>
      <c r="H31" s="33" t="n">
        <f aca="false">H17-H29</f>
        <v>8700</v>
      </c>
    </row>
    <row r="32" customFormat="false" ht="15" hidden="false" customHeight="true" outlineLevel="0" collapsed="false">
      <c r="A32" s="11" t="s">
        <v>172</v>
      </c>
      <c r="B32" s="26" t="n">
        <f aca="false">IFERROR(B31/B9,0)</f>
        <v>-10.94</v>
      </c>
      <c r="C32" s="26" t="n">
        <f aca="false">IFERROR(C31/C9,0)</f>
        <v>-1.71052631578947</v>
      </c>
      <c r="D32" s="26" t="n">
        <f aca="false">IFERROR(D31/D9,0)</f>
        <v>-0.315789473684211</v>
      </c>
      <c r="E32" s="26" t="n">
        <f aca="false">IFERROR(E31/E9,0)</f>
        <v>0.208928571428571</v>
      </c>
      <c r="F32" s="26" t="n">
        <f aca="false">IFERROR(F31/F9,0)</f>
        <v>0.397169811320755</v>
      </c>
      <c r="G32" s="26" t="n">
        <f aca="false">IFERROR(G31/G9,0)</f>
        <v>0.51767955801105</v>
      </c>
      <c r="H32" s="26" t="n">
        <f aca="false">IFERROR(H31/H9,0)</f>
        <v>0.602076124567474</v>
      </c>
    </row>
    <row r="34" customFormat="false" ht="15" hidden="false" customHeight="true" outlineLevel="0" collapsed="false">
      <c r="A34" s="34" t="s">
        <v>173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174</v>
      </c>
      <c r="B35" s="31" t="n">
        <f aca="false">B31-B34</f>
        <v>-557</v>
      </c>
      <c r="C35" s="31" t="n">
        <f aca="false">C31-C34</f>
        <v>-680</v>
      </c>
      <c r="D35" s="31" t="n">
        <f aca="false">D31-D34</f>
        <v>-420</v>
      </c>
      <c r="E35" s="31" t="n">
        <f aca="false">E31-E34</f>
        <v>495</v>
      </c>
      <c r="F35" s="31" t="n">
        <f aca="false">F31-F34</f>
        <v>1985</v>
      </c>
      <c r="G35" s="31" t="n">
        <f aca="false">G31-G34</f>
        <v>4535</v>
      </c>
      <c r="H35" s="31" t="n">
        <f aca="false">H31-H34</f>
        <v>8520</v>
      </c>
    </row>
    <row r="36" customFormat="false" ht="15" hidden="false" customHeight="true" outlineLevel="0" collapsed="false">
      <c r="A36" s="34" t="s">
        <v>175</v>
      </c>
      <c r="B36" s="35" t="n">
        <f aca="false">'3_Interest_Repayment'!F4/1000</f>
        <v>13.875</v>
      </c>
      <c r="C36" s="35" t="n">
        <f aca="false">'3_Interest_Repayment'!F5/1000</f>
        <v>16.4441875</v>
      </c>
      <c r="D36" s="35" t="n">
        <f aca="false">'3_Interest_Repayment'!F6/1000</f>
        <v>76.243619875</v>
      </c>
      <c r="E36" s="35" t="n">
        <f aca="false">'3_Interest_Repayment'!F7/1000</f>
        <v>60.9948959</v>
      </c>
      <c r="F36" s="35" t="n">
        <f aca="false">'3_Interest_Repayment'!F8/1000</f>
        <v>45.746171925</v>
      </c>
      <c r="G36" s="35" t="n">
        <f aca="false">'3_Interest_Repayment'!F9/1000</f>
        <v>30.49744795</v>
      </c>
      <c r="H36" s="35" t="n">
        <f aca="false">'3_Interest_Repayment'!F10/1000</f>
        <v>15.248723975</v>
      </c>
    </row>
    <row r="37" customFormat="false" ht="15" hidden="false" customHeight="true" outlineLevel="0" collapsed="false">
      <c r="A37" s="3" t="s">
        <v>176</v>
      </c>
      <c r="B37" s="31" t="n">
        <f aca="false">B35-B36</f>
        <v>-570.875</v>
      </c>
      <c r="C37" s="31" t="n">
        <f aca="false">C35-C36</f>
        <v>-696.4441875</v>
      </c>
      <c r="D37" s="31" t="n">
        <f aca="false">D35-D36</f>
        <v>-496.243619875</v>
      </c>
      <c r="E37" s="31" t="n">
        <f aca="false">E35-E36</f>
        <v>434.0051041</v>
      </c>
      <c r="F37" s="31" t="n">
        <f aca="false">F35-F36</f>
        <v>1939.253828075</v>
      </c>
      <c r="G37" s="31" t="n">
        <f aca="false">G35-G36</f>
        <v>4504.50255205</v>
      </c>
      <c r="H37" s="31" t="n">
        <f aca="false">H35-H36</f>
        <v>8504.751276025</v>
      </c>
    </row>
    <row r="38" customFormat="false" ht="15" hidden="false" customHeight="true" outlineLevel="0" collapsed="false">
      <c r="A38" s="34" t="s">
        <v>177</v>
      </c>
      <c r="B38" s="36" t="n">
        <f aca="false">MIN(0,B37)*0</f>
        <v>-0</v>
      </c>
      <c r="C38" s="36" t="n">
        <f aca="false">MIN(0,C37)*0</f>
        <v>-0</v>
      </c>
      <c r="D38" s="36" t="n">
        <f aca="false">MIN(0,D37)*0</f>
        <v>-0</v>
      </c>
      <c r="E38" s="36" t="n">
        <f aca="false">MAX(0,E37)*0.25</f>
        <v>108.501276025</v>
      </c>
      <c r="F38" s="36" t="n">
        <f aca="false">MAX(0,F37)*0.25</f>
        <v>484.81345701875</v>
      </c>
      <c r="G38" s="36" t="n">
        <f aca="false">MAX(0,G37)*0.25</f>
        <v>1126.1256380125</v>
      </c>
      <c r="H38" s="36" t="n">
        <f aca="false">MAX(0,H37)*0.25</f>
        <v>2126.18781900625</v>
      </c>
    </row>
    <row r="39" customFormat="false" ht="15" hidden="false" customHeight="true" outlineLevel="0" collapsed="false">
      <c r="A39" s="13" t="s">
        <v>178</v>
      </c>
      <c r="B39" s="37" t="n">
        <f aca="false">B37-B38</f>
        <v>-570.875</v>
      </c>
      <c r="C39" s="37" t="n">
        <f aca="false">C37-C38</f>
        <v>-696.4441875</v>
      </c>
      <c r="D39" s="37" t="n">
        <f aca="false">D37-D38</f>
        <v>-496.243619875</v>
      </c>
      <c r="E39" s="37" t="n">
        <f aca="false">E37-E38</f>
        <v>325.503828075</v>
      </c>
      <c r="F39" s="37" t="n">
        <f aca="false">F37-F38</f>
        <v>1454.44037105625</v>
      </c>
      <c r="G39" s="37" t="n">
        <f aca="false">G37-G38</f>
        <v>3378.3769140375</v>
      </c>
      <c r="H39" s="37" t="n">
        <f aca="false">H37-H38</f>
        <v>6378.56345701875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179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140</v>
      </c>
      <c r="B3" s="22" t="s">
        <v>141</v>
      </c>
      <c r="C3" s="22" t="s">
        <v>142</v>
      </c>
      <c r="D3" s="22" t="s">
        <v>143</v>
      </c>
      <c r="E3" s="22" t="s">
        <v>144</v>
      </c>
      <c r="F3" s="22" t="s">
        <v>145</v>
      </c>
      <c r="G3" s="22" t="s">
        <v>146</v>
      </c>
      <c r="H3" s="22" t="s">
        <v>147</v>
      </c>
    </row>
    <row r="4" customFormat="false" ht="15" hidden="false" customHeight="true" outlineLevel="0" collapsed="false">
      <c r="A4" s="30" t="s">
        <v>180</v>
      </c>
    </row>
    <row r="5" customFormat="false" ht="15" hidden="false" customHeight="true" outlineLevel="0" collapsed="false">
      <c r="A5" s="34" t="s">
        <v>181</v>
      </c>
      <c r="B5" s="35" t="n">
        <f aca="false">'4_PnL_Forecast'!B31</f>
        <v>-547</v>
      </c>
      <c r="C5" s="35" t="n">
        <f aca="false">'4_PnL_Forecast'!C31</f>
        <v>-650</v>
      </c>
      <c r="D5" s="35" t="n">
        <f aca="false">'4_PnL_Forecast'!D31</f>
        <v>-360</v>
      </c>
      <c r="E5" s="35" t="n">
        <f aca="false">'4_PnL_Forecast'!E31</f>
        <v>585</v>
      </c>
      <c r="F5" s="35" t="n">
        <f aca="false">'4_PnL_Forecast'!F31</f>
        <v>2105</v>
      </c>
      <c r="G5" s="35" t="n">
        <f aca="false">'4_PnL_Forecast'!G31</f>
        <v>4685</v>
      </c>
      <c r="H5" s="35" t="n">
        <f aca="false">'4_PnL_Forecast'!H31</f>
        <v>8700</v>
      </c>
    </row>
    <row r="6" customFormat="false" ht="15" hidden="false" customHeight="true" outlineLevel="0" collapsed="false">
      <c r="A6" s="34" t="s">
        <v>182</v>
      </c>
      <c r="B6" s="8" t="n">
        <v>-15</v>
      </c>
      <c r="C6" s="8" t="n">
        <v>-30</v>
      </c>
      <c r="D6" s="8" t="n">
        <v>-60</v>
      </c>
      <c r="E6" s="8" t="n">
        <v>-100</v>
      </c>
      <c r="F6" s="8" t="n">
        <v>-160</v>
      </c>
      <c r="G6" s="8" t="n">
        <v>-230</v>
      </c>
      <c r="H6" s="8" t="n">
        <v>-310</v>
      </c>
    </row>
    <row r="7" customFormat="false" ht="15" hidden="false" customHeight="true" outlineLevel="0" collapsed="false">
      <c r="A7" s="34" t="s">
        <v>183</v>
      </c>
      <c r="B7" s="35" t="n">
        <f aca="false">-'4_PnL_Forecast'!B38</f>
        <v>0</v>
      </c>
      <c r="C7" s="35" t="n">
        <f aca="false">-'4_PnL_Forecast'!C38</f>
        <v>0</v>
      </c>
      <c r="D7" s="35" t="n">
        <f aca="false">-'4_PnL_Forecast'!D38</f>
        <v>0</v>
      </c>
      <c r="E7" s="35" t="n">
        <f aca="false">-'4_PnL_Forecast'!E38</f>
        <v>-108.501276025</v>
      </c>
      <c r="F7" s="35" t="n">
        <f aca="false">-'4_PnL_Forecast'!F38</f>
        <v>-484.81345701875</v>
      </c>
      <c r="G7" s="35" t="n">
        <f aca="false">-'4_PnL_Forecast'!G38</f>
        <v>-1126.1256380125</v>
      </c>
      <c r="H7" s="35" t="n">
        <f aca="false">-'4_PnL_Forecast'!H38</f>
        <v>-2126.18781900625</v>
      </c>
    </row>
    <row r="8" customFormat="false" ht="15" hidden="false" customHeight="true" outlineLevel="0" collapsed="false">
      <c r="A8" s="3" t="s">
        <v>184</v>
      </c>
      <c r="B8" s="29" t="n">
        <f aca="false">B5+B6+B7</f>
        <v>-562</v>
      </c>
      <c r="C8" s="29" t="n">
        <f aca="false">C5+C6+C7</f>
        <v>-680</v>
      </c>
      <c r="D8" s="29" t="n">
        <f aca="false">D5+D6+D7</f>
        <v>-420</v>
      </c>
      <c r="E8" s="29" t="n">
        <f aca="false">E5+E6+E7</f>
        <v>376.498723975</v>
      </c>
      <c r="F8" s="29" t="n">
        <f aca="false">F5+F6+F7</f>
        <v>1460.18654298125</v>
      </c>
      <c r="G8" s="29" t="n">
        <f aca="false">G5+G6+G7</f>
        <v>3328.8743619875</v>
      </c>
      <c r="H8" s="29" t="n">
        <f aca="false">H5+H6+H7</f>
        <v>6263.81218099375</v>
      </c>
    </row>
    <row r="10" customFormat="false" ht="15" hidden="false" customHeight="true" outlineLevel="0" collapsed="false">
      <c r="A10" s="30" t="s">
        <v>185</v>
      </c>
    </row>
    <row r="11" customFormat="false" ht="15" hidden="false" customHeight="true" outlineLevel="0" collapsed="false">
      <c r="A11" s="34" t="s">
        <v>186</v>
      </c>
      <c r="B11" s="8" t="n">
        <v>-90</v>
      </c>
      <c r="C11" s="8" t="n">
        <v>-70</v>
      </c>
      <c r="D11" s="8" t="n">
        <v>-60</v>
      </c>
      <c r="E11" s="8" t="n">
        <v>-80</v>
      </c>
      <c r="F11" s="8" t="n">
        <v>-100</v>
      </c>
      <c r="G11" s="8" t="n">
        <v>-130</v>
      </c>
      <c r="H11" s="8" t="n">
        <v>-170</v>
      </c>
    </row>
    <row r="12" customFormat="false" ht="15" hidden="false" customHeight="true" outlineLevel="0" collapsed="false">
      <c r="A12" s="3" t="s">
        <v>187</v>
      </c>
      <c r="B12" s="31" t="n">
        <f aca="false">B11</f>
        <v>-90</v>
      </c>
      <c r="C12" s="31" t="n">
        <f aca="false">C11</f>
        <v>-70</v>
      </c>
      <c r="D12" s="31" t="n">
        <f aca="false">D11</f>
        <v>-60</v>
      </c>
      <c r="E12" s="31" t="n">
        <f aca="false">E11</f>
        <v>-80</v>
      </c>
      <c r="F12" s="31" t="n">
        <f aca="false">F11</f>
        <v>-100</v>
      </c>
      <c r="G12" s="31" t="n">
        <f aca="false">G11</f>
        <v>-130</v>
      </c>
      <c r="H12" s="31" t="n">
        <f aca="false">H11</f>
        <v>-170</v>
      </c>
    </row>
    <row r="14" customFormat="false" ht="15" hidden="false" customHeight="true" outlineLevel="0" collapsed="false">
      <c r="A14" s="30" t="s">
        <v>188</v>
      </c>
    </row>
    <row r="15" customFormat="false" ht="15" hidden="false" customHeight="true" outlineLevel="0" collapsed="false">
      <c r="A15" s="34" t="s">
        <v>189</v>
      </c>
      <c r="B15" s="35" t="n">
        <f aca="false">'3_Interest_Repayment'!D4/1000</f>
        <v>750</v>
      </c>
      <c r="C15" s="35" t="n">
        <f aca="false">'3_Interest_Repayment'!D5/1000</f>
        <v>250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190</v>
      </c>
      <c r="B16" s="35" t="n">
        <f aca="false">-'3_Interest_Repayment'!G4/1000</f>
        <v>-0</v>
      </c>
      <c r="C16" s="35" t="n">
        <f aca="false">-'3_Interest_Repayment'!G5/1000</f>
        <v>-0</v>
      </c>
      <c r="D16" s="35" t="n">
        <f aca="false">-'3_Interest_Repayment'!G6/1000</f>
        <v>-206.0638375</v>
      </c>
      <c r="E16" s="35" t="n">
        <f aca="false">-'3_Interest_Repayment'!G7/1000</f>
        <v>-206.0638375</v>
      </c>
      <c r="F16" s="35" t="n">
        <f aca="false">-'3_Interest_Repayment'!G8/1000</f>
        <v>-206.0638375</v>
      </c>
      <c r="G16" s="35" t="n">
        <f aca="false">-'3_Interest_Repayment'!G9/1000</f>
        <v>-206.0638375</v>
      </c>
      <c r="H16" s="35" t="n">
        <f aca="false">-'3_Interest_Repayment'!G10/1000</f>
        <v>-206.0638375</v>
      </c>
    </row>
    <row r="17" customFormat="false" ht="15" hidden="false" customHeight="true" outlineLevel="0" collapsed="false">
      <c r="A17" s="34" t="s">
        <v>191</v>
      </c>
      <c r="B17" s="35" t="n">
        <f aca="false">-'3_Interest_Repayment'!H4/1000</f>
        <v>-0</v>
      </c>
      <c r="C17" s="35" t="n">
        <f aca="false">-'3_Interest_Repayment'!H5/1000</f>
        <v>-0</v>
      </c>
      <c r="D17" s="35" t="n">
        <f aca="false">-'3_Interest_Repayment'!H6/1000</f>
        <v>-76.243619875</v>
      </c>
      <c r="E17" s="35" t="n">
        <f aca="false">-'3_Interest_Repayment'!H7/1000</f>
        <v>-60.9948959</v>
      </c>
      <c r="F17" s="35" t="n">
        <f aca="false">-'3_Interest_Repayment'!H8/1000</f>
        <v>-45.746171925</v>
      </c>
      <c r="G17" s="35" t="n">
        <f aca="false">-'3_Interest_Repayment'!H9/1000</f>
        <v>-30.49744795</v>
      </c>
      <c r="H17" s="35" t="n">
        <f aca="false">-'3_Interest_Repayment'!H10/1000</f>
        <v>-15.248723975</v>
      </c>
    </row>
    <row r="18" customFormat="false" ht="15" hidden="false" customHeight="true" outlineLevel="0" collapsed="false">
      <c r="A18" s="34" t="s">
        <v>192</v>
      </c>
      <c r="B18" s="8" t="n">
        <v>600</v>
      </c>
      <c r="C18" s="8" t="n">
        <v>900</v>
      </c>
      <c r="D18" s="8" t="n">
        <v>400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193</v>
      </c>
      <c r="B19" s="31" t="n">
        <f aca="false">B15+B16+B17+B18</f>
        <v>1350</v>
      </c>
      <c r="C19" s="31" t="n">
        <f aca="false">C15+C16+C17+C18</f>
        <v>1150</v>
      </c>
      <c r="D19" s="31" t="n">
        <f aca="false">D15+D16+D17+D18</f>
        <v>117.692542625</v>
      </c>
      <c r="E19" s="31" t="n">
        <f aca="false">E15+E16+E17+E18</f>
        <v>-267.0587334</v>
      </c>
      <c r="F19" s="31" t="n">
        <f aca="false">F15+F16+F17+F18</f>
        <v>-251.810009425</v>
      </c>
      <c r="G19" s="31" t="n">
        <f aca="false">G15+G16+G17+G18</f>
        <v>-236.56128545</v>
      </c>
      <c r="H19" s="31" t="n">
        <f aca="false">H15+H16+H17+H18</f>
        <v>-221.312561475</v>
      </c>
    </row>
    <row r="21" customFormat="false" ht="15" hidden="false" customHeight="true" outlineLevel="0" collapsed="false">
      <c r="A21" s="32" t="s">
        <v>194</v>
      </c>
      <c r="B21" s="33" t="n">
        <f aca="false">B8+B12+B19</f>
        <v>698</v>
      </c>
      <c r="C21" s="33" t="n">
        <f aca="false">C8+C12+C19</f>
        <v>400</v>
      </c>
      <c r="D21" s="33" t="n">
        <f aca="false">D8+D12+D19</f>
        <v>-362.307457375</v>
      </c>
      <c r="E21" s="33" t="n">
        <f aca="false">E8+E12+E19</f>
        <v>29.439990575</v>
      </c>
      <c r="F21" s="33" t="n">
        <f aca="false">F8+F12+F19</f>
        <v>1108.37653355625</v>
      </c>
      <c r="G21" s="33" t="n">
        <f aca="false">G8+G12+G19</f>
        <v>2962.3130765375</v>
      </c>
      <c r="H21" s="33" t="n">
        <f aca="false">H8+H12+H19</f>
        <v>5872.49961951875</v>
      </c>
    </row>
    <row r="22" customFormat="false" ht="15" hidden="false" customHeight="true" outlineLevel="0" collapsed="false">
      <c r="A22" s="34" t="s">
        <v>195</v>
      </c>
      <c r="B22" s="8" t="n">
        <v>350</v>
      </c>
      <c r="C22" s="36" t="n">
        <f aca="false">B23</f>
        <v>1048</v>
      </c>
      <c r="D22" s="36" t="n">
        <f aca="false">C23</f>
        <v>1448</v>
      </c>
      <c r="E22" s="36" t="n">
        <f aca="false">D23</f>
        <v>1085.692542625</v>
      </c>
      <c r="F22" s="36" t="n">
        <f aca="false">E23</f>
        <v>1115.1325332</v>
      </c>
      <c r="G22" s="36" t="n">
        <f aca="false">F23</f>
        <v>2223.50906675625</v>
      </c>
      <c r="H22" s="36" t="n">
        <f aca="false">G23</f>
        <v>5185.82214329375</v>
      </c>
    </row>
    <row r="23" customFormat="false" ht="15" hidden="false" customHeight="true" outlineLevel="0" collapsed="false">
      <c r="A23" s="13" t="s">
        <v>196</v>
      </c>
      <c r="B23" s="37" t="n">
        <f aca="false">B22+B21</f>
        <v>1048</v>
      </c>
      <c r="C23" s="37" t="n">
        <f aca="false">C22+C21</f>
        <v>1448</v>
      </c>
      <c r="D23" s="37" t="n">
        <f aca="false">D22+D21</f>
        <v>1085.692542625</v>
      </c>
      <c r="E23" s="37" t="n">
        <f aca="false">E22+E21</f>
        <v>1115.1325332</v>
      </c>
      <c r="F23" s="37" t="n">
        <f aca="false">F22+F21</f>
        <v>2223.50906675625</v>
      </c>
      <c r="G23" s="37" t="n">
        <f aca="false">G22+G21</f>
        <v>5185.82214329375</v>
      </c>
      <c r="H23" s="37" t="n">
        <f aca="false">H22+H21</f>
        <v>11058.3217628125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197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140</v>
      </c>
      <c r="B3" s="22" t="s">
        <v>141</v>
      </c>
      <c r="C3" s="22" t="s">
        <v>142</v>
      </c>
      <c r="D3" s="22" t="s">
        <v>143</v>
      </c>
      <c r="E3" s="22" t="s">
        <v>144</v>
      </c>
      <c r="F3" s="22" t="s">
        <v>145</v>
      </c>
      <c r="G3" s="22" t="s">
        <v>146</v>
      </c>
      <c r="H3" s="22" t="s">
        <v>147</v>
      </c>
    </row>
    <row r="4" customFormat="false" ht="15" hidden="false" customHeight="true" outlineLevel="0" collapsed="false">
      <c r="A4" s="30" t="s">
        <v>198</v>
      </c>
    </row>
    <row r="5" customFormat="false" ht="15" hidden="false" customHeight="true" outlineLevel="0" collapsed="false">
      <c r="A5" s="34" t="s">
        <v>199</v>
      </c>
      <c r="B5" s="35" t="n">
        <f aca="false">'5_Cashflow'!B23</f>
        <v>1048</v>
      </c>
      <c r="C5" s="35" t="n">
        <f aca="false">'5_Cashflow'!C23</f>
        <v>1448</v>
      </c>
      <c r="D5" s="35" t="n">
        <f aca="false">'5_Cashflow'!D23</f>
        <v>1085.692542625</v>
      </c>
      <c r="E5" s="35" t="n">
        <f aca="false">'5_Cashflow'!E23</f>
        <v>1115.1325332</v>
      </c>
      <c r="F5" s="35" t="n">
        <f aca="false">'5_Cashflow'!F23</f>
        <v>2223.50906675625</v>
      </c>
      <c r="G5" s="35" t="n">
        <f aca="false">'5_Cashflow'!G23</f>
        <v>5185.82214329375</v>
      </c>
      <c r="H5" s="35" t="n">
        <f aca="false">'5_Cashflow'!H23</f>
        <v>11058.3217628125</v>
      </c>
    </row>
    <row r="6" customFormat="false" ht="15" hidden="false" customHeight="true" outlineLevel="0" collapsed="false">
      <c r="A6" s="34" t="s">
        <v>200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201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202</v>
      </c>
      <c r="B8" s="29" t="n">
        <f aca="false">SUM(B5:B7)</f>
        <v>1078</v>
      </c>
      <c r="C8" s="29" t="n">
        <f aca="false">SUM(C5:C7)</f>
        <v>1513</v>
      </c>
      <c r="D8" s="29" t="n">
        <f aca="false">SUM(D5:D7)</f>
        <v>1220.692542625</v>
      </c>
      <c r="E8" s="29" t="n">
        <f aca="false">SUM(E5:E7)</f>
        <v>1365.1325332</v>
      </c>
      <c r="F8" s="29" t="n">
        <f aca="false">SUM(F5:F7)</f>
        <v>2653.50906675625</v>
      </c>
      <c r="G8" s="29" t="n">
        <f aca="false">SUM(G5:G7)</f>
        <v>5855.82214329375</v>
      </c>
      <c r="H8" s="29" t="n">
        <f aca="false">SUM(H5:H7)</f>
        <v>12048.3217628125</v>
      </c>
    </row>
    <row r="9" customFormat="false" ht="15" hidden="false" customHeight="true" outlineLevel="0" collapsed="false">
      <c r="A9" s="34" t="s">
        <v>203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204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205</v>
      </c>
      <c r="B11" s="29" t="n">
        <f aca="false">B9+B10</f>
        <v>130</v>
      </c>
      <c r="C11" s="29" t="n">
        <f aca="false">C9+C10</f>
        <v>260</v>
      </c>
      <c r="D11" s="29" t="n">
        <f aca="false">D9+D10</f>
        <v>400</v>
      </c>
      <c r="E11" s="29" t="n">
        <f aca="false">E9+E10</f>
        <v>570</v>
      </c>
      <c r="F11" s="29" t="n">
        <f aca="false">F9+F10</f>
        <v>770</v>
      </c>
      <c r="G11" s="29" t="n">
        <f aca="false">G9+G10</f>
        <v>1010</v>
      </c>
      <c r="H11" s="29" t="n">
        <f aca="false">H9+H10</f>
        <v>1300</v>
      </c>
    </row>
    <row r="12" customFormat="false" ht="15" hidden="false" customHeight="true" outlineLevel="0" collapsed="false">
      <c r="A12" s="13" t="s">
        <v>206</v>
      </c>
      <c r="B12" s="37" t="n">
        <f aca="false">B8+B11</f>
        <v>1208</v>
      </c>
      <c r="C12" s="37" t="n">
        <f aca="false">C8+C11</f>
        <v>1773</v>
      </c>
      <c r="D12" s="37" t="n">
        <f aca="false">D8+D11</f>
        <v>1620.692542625</v>
      </c>
      <c r="E12" s="37" t="n">
        <f aca="false">E8+E11</f>
        <v>1935.1325332</v>
      </c>
      <c r="F12" s="37" t="n">
        <f aca="false">F8+F11</f>
        <v>3423.50906675625</v>
      </c>
      <c r="G12" s="37" t="n">
        <f aca="false">G8+G11</f>
        <v>6865.82214329375</v>
      </c>
      <c r="H12" s="37" t="n">
        <f aca="false">H8+H11</f>
        <v>13348.3217628125</v>
      </c>
    </row>
    <row r="14" customFormat="false" ht="15" hidden="false" customHeight="true" outlineLevel="0" collapsed="false">
      <c r="A14" s="30" t="s">
        <v>207</v>
      </c>
    </row>
    <row r="15" customFormat="false" ht="15" hidden="false" customHeight="true" outlineLevel="0" collapsed="false">
      <c r="A15" s="34" t="s">
        <v>208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209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4" t="s">
        <v>210</v>
      </c>
      <c r="B17" s="8" t="n">
        <v>0</v>
      </c>
      <c r="C17" s="8" t="n">
        <v>200</v>
      </c>
      <c r="D17" s="8" t="n">
        <v>200</v>
      </c>
      <c r="E17" s="8" t="n">
        <v>200</v>
      </c>
      <c r="F17" s="8" t="n">
        <v>200</v>
      </c>
      <c r="G17" s="8" t="n">
        <v>200</v>
      </c>
      <c r="H17" s="8" t="n">
        <v>0</v>
      </c>
    </row>
    <row r="18" customFormat="false" ht="15" hidden="false" customHeight="true" outlineLevel="0" collapsed="false">
      <c r="A18" s="39" t="s">
        <v>211</v>
      </c>
      <c r="B18" s="40" t="n">
        <f aca="false">SUM(B15:B17)</f>
        <v>20</v>
      </c>
      <c r="C18" s="40" t="n">
        <f aca="false">SUM(C15:C17)</f>
        <v>240</v>
      </c>
      <c r="D18" s="40" t="n">
        <f aca="false">SUM(D15:D17)</f>
        <v>268</v>
      </c>
      <c r="E18" s="40" t="n">
        <f aca="false">SUM(E15:E17)</f>
        <v>310</v>
      </c>
      <c r="F18" s="40" t="n">
        <f aca="false">SUM(F15:F17)</f>
        <v>370</v>
      </c>
      <c r="G18" s="40" t="n">
        <f aca="false">SUM(G15:G17)</f>
        <v>450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212</v>
      </c>
      <c r="B19" s="36" t="n">
        <f aca="false">MAX(0,'3_Interest_Repayment'!I4/1000-B17)</f>
        <v>763.875</v>
      </c>
      <c r="C19" s="36" t="n">
        <f aca="false">MAX(0,'3_Interest_Repayment'!I5/1000-C17)</f>
        <v>830.3191875</v>
      </c>
      <c r="D19" s="36" t="n">
        <f aca="false">MAX(0,'3_Interest_Repayment'!I6/1000-D17)</f>
        <v>624.25535</v>
      </c>
      <c r="E19" s="36" t="n">
        <f aca="false">MAX(0,'3_Interest_Repayment'!I7/1000-E17)</f>
        <v>418.1915125</v>
      </c>
      <c r="F19" s="36" t="n">
        <f aca="false">MAX(0,'3_Interest_Repayment'!I8/1000-F17)</f>
        <v>212.127675</v>
      </c>
      <c r="G19" s="36" t="n">
        <f aca="false">MAX(0,'3_Interest_Repayment'!I9/1000-G17)</f>
        <v>6.06383750000006</v>
      </c>
      <c r="H19" s="36" t="n">
        <f aca="false">MAX(0,'3_Interest_Repayment'!I10/1000-H17)</f>
        <v>5.63886715099216E-014</v>
      </c>
    </row>
    <row r="20" customFormat="false" ht="15" hidden="false" customHeight="true" outlineLevel="0" collapsed="false">
      <c r="A20" s="39" t="s">
        <v>213</v>
      </c>
      <c r="B20" s="40" t="n">
        <f aca="false">B19</f>
        <v>763.875</v>
      </c>
      <c r="C20" s="40" t="n">
        <f aca="false">C19</f>
        <v>830.3191875</v>
      </c>
      <c r="D20" s="40" t="n">
        <f aca="false">D19</f>
        <v>624.25535</v>
      </c>
      <c r="E20" s="40" t="n">
        <f aca="false">E19</f>
        <v>418.1915125</v>
      </c>
      <c r="F20" s="40" t="n">
        <f aca="false">F19</f>
        <v>212.127675</v>
      </c>
      <c r="G20" s="40" t="n">
        <f aca="false">G19</f>
        <v>6.06383750000006</v>
      </c>
      <c r="H20" s="40" t="n">
        <f aca="false">H19</f>
        <v>5.63886715099216E-014</v>
      </c>
    </row>
    <row r="21" customFormat="false" ht="15" hidden="false" customHeight="true" outlineLevel="0" collapsed="false">
      <c r="A21" s="13" t="s">
        <v>214</v>
      </c>
      <c r="B21" s="37" t="n">
        <f aca="false">B18+B20</f>
        <v>783.875</v>
      </c>
      <c r="C21" s="37" t="n">
        <f aca="false">C18+C20</f>
        <v>1070.3191875</v>
      </c>
      <c r="D21" s="37" t="n">
        <f aca="false">D18+D20</f>
        <v>892.25535</v>
      </c>
      <c r="E21" s="37" t="n">
        <f aca="false">E18+E20</f>
        <v>728.1915125</v>
      </c>
      <c r="F21" s="37" t="n">
        <f aca="false">F18+F20</f>
        <v>582.127675</v>
      </c>
      <c r="G21" s="37" t="n">
        <f aca="false">G18+G20</f>
        <v>456.0638375</v>
      </c>
      <c r="H21" s="37" t="n">
        <f aca="false">H18+H20</f>
        <v>360</v>
      </c>
    </row>
    <row r="23" customFormat="false" ht="15" hidden="false" customHeight="true" outlineLevel="0" collapsed="false">
      <c r="A23" s="30" t="s">
        <v>215</v>
      </c>
    </row>
    <row r="24" customFormat="false" ht="15" hidden="false" customHeight="true" outlineLevel="0" collapsed="false">
      <c r="A24" s="34" t="s">
        <v>216</v>
      </c>
      <c r="B24" s="8" t="n">
        <v>800</v>
      </c>
      <c r="C24" s="8" t="n">
        <v>1700</v>
      </c>
      <c r="D24" s="8" t="n">
        <v>2100</v>
      </c>
      <c r="E24" s="8" t="n">
        <v>2100</v>
      </c>
      <c r="F24" s="8" t="n">
        <v>2100</v>
      </c>
      <c r="G24" s="8" t="n">
        <v>2100</v>
      </c>
      <c r="H24" s="8" t="n">
        <v>2100</v>
      </c>
    </row>
    <row r="25" customFormat="false" ht="15" hidden="false" customHeight="true" outlineLevel="0" collapsed="false">
      <c r="A25" s="34" t="s">
        <v>217</v>
      </c>
      <c r="B25" s="35" t="n">
        <f aca="false">'4_PnL_Forecast'!B39</f>
        <v>-570.875</v>
      </c>
      <c r="C25" s="36" t="n">
        <f aca="false">B25+'4_PnL_Forecast'!C39</f>
        <v>-1267.3191875</v>
      </c>
      <c r="D25" s="36" t="n">
        <f aca="false">C25+'4_PnL_Forecast'!D39</f>
        <v>-1763.562807375</v>
      </c>
      <c r="E25" s="36" t="n">
        <f aca="false">D25+'4_PnL_Forecast'!E39</f>
        <v>-1438.0589793</v>
      </c>
      <c r="F25" s="36" t="n">
        <f aca="false">E25+'4_PnL_Forecast'!F39</f>
        <v>16.3813917562502</v>
      </c>
      <c r="G25" s="36" t="n">
        <f aca="false">F25+'4_PnL_Forecast'!G39</f>
        <v>3394.75830579375</v>
      </c>
      <c r="H25" s="36" t="n">
        <f aca="false">G25+'4_PnL_Forecast'!H39</f>
        <v>9773.3217628125</v>
      </c>
    </row>
    <row r="26" customFormat="false" ht="15" hidden="false" customHeight="true" outlineLevel="0" collapsed="false">
      <c r="A26" s="11" t="s">
        <v>218</v>
      </c>
      <c r="B26" s="36" t="n">
        <f aca="false">B12-B21-B24-B25</f>
        <v>195</v>
      </c>
      <c r="C26" s="36" t="n">
        <f aca="false">C12-C21-C24-C25</f>
        <v>270</v>
      </c>
      <c r="D26" s="36" t="n">
        <f aca="false">D12-D21-D24-D25</f>
        <v>392</v>
      </c>
      <c r="E26" s="36" t="n">
        <f aca="false">E12-E21-E24-E25</f>
        <v>545</v>
      </c>
      <c r="F26" s="36" t="n">
        <f aca="false">F12-F21-F24-F25</f>
        <v>725</v>
      </c>
      <c r="G26" s="36" t="n">
        <f aca="false">G12-G21-G24-G25</f>
        <v>915</v>
      </c>
      <c r="H26" s="36" t="n">
        <f aca="false">H12-H21-H24-H25</f>
        <v>1115</v>
      </c>
    </row>
    <row r="27" customFormat="false" ht="15" hidden="false" customHeight="true" outlineLevel="0" collapsed="false">
      <c r="A27" s="13" t="s">
        <v>219</v>
      </c>
      <c r="B27" s="37" t="n">
        <f aca="false">B24+B25+B26</f>
        <v>424.125</v>
      </c>
      <c r="C27" s="37" t="n">
        <f aca="false">C24+C25+C26</f>
        <v>702.6808125</v>
      </c>
      <c r="D27" s="37" t="n">
        <f aca="false">D24+D25+D26</f>
        <v>728.437192625</v>
      </c>
      <c r="E27" s="37" t="n">
        <f aca="false">E24+E25+E26</f>
        <v>1206.9410207</v>
      </c>
      <c r="F27" s="37" t="n">
        <f aca="false">F24+F25+F26</f>
        <v>2841.38139175625</v>
      </c>
      <c r="G27" s="37" t="n">
        <f aca="false">G24+G25+G26</f>
        <v>6409.75830579375</v>
      </c>
      <c r="H27" s="37" t="n">
        <f aca="false">H24+H25+H26</f>
        <v>12988.3217628125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220</v>
      </c>
      <c r="B29" s="37" t="n">
        <f aca="false">B21+B27</f>
        <v>1208</v>
      </c>
      <c r="C29" s="37" t="n">
        <f aca="false">C21+C27</f>
        <v>1773</v>
      </c>
      <c r="D29" s="37" t="n">
        <f aca="false">D21+D27</f>
        <v>1620.692542625</v>
      </c>
      <c r="E29" s="37" t="n">
        <f aca="false">E21+E27</f>
        <v>1935.1325332</v>
      </c>
      <c r="F29" s="37" t="n">
        <f aca="false">F21+F27</f>
        <v>3423.50906675625</v>
      </c>
      <c r="G29" s="37" t="n">
        <f aca="false">G21+G27</f>
        <v>6865.82214329375</v>
      </c>
      <c r="H29" s="37" t="n">
        <f aca="false">H21+H27</f>
        <v>13348.3217628125</v>
      </c>
    </row>
    <row r="30" customFormat="false" ht="15" hidden="false" customHeight="true" outlineLevel="0" collapsed="false">
      <c r="A30" s="11" t="s">
        <v>221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222</v>
      </c>
      <c r="B32" s="42" t="n">
        <f aca="false">IFERROR(B8/B18,0)</f>
        <v>53.9</v>
      </c>
      <c r="C32" s="42" t="n">
        <f aca="false">IFERROR(C8/C18,0)</f>
        <v>6.30416666666667</v>
      </c>
      <c r="D32" s="42" t="n">
        <f aca="false">IFERROR(D8/D18,0)</f>
        <v>4.55482292024254</v>
      </c>
      <c r="E32" s="42" t="n">
        <f aca="false">IFERROR(E8/E18,0)</f>
        <v>4.40365333290323</v>
      </c>
      <c r="F32" s="42" t="n">
        <f aca="false">IFERROR(F8/F18,0)</f>
        <v>7.17164612636824</v>
      </c>
      <c r="G32" s="42" t="n">
        <f aca="false">IFERROR(G8/G18,0)</f>
        <v>13.0129380962083</v>
      </c>
      <c r="H32" s="42" t="n">
        <f aca="false">IFERROR(H8/H18,0)</f>
        <v>33.467560452257</v>
      </c>
    </row>
    <row r="33" customFormat="false" ht="15" hidden="false" customHeight="true" outlineLevel="0" collapsed="false">
      <c r="A33" s="7" t="s">
        <v>223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224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225</v>
      </c>
      <c r="B3" s="13" t="s">
        <v>226</v>
      </c>
      <c r="C3" s="13" t="s">
        <v>227</v>
      </c>
      <c r="D3" s="13" t="s">
        <v>228</v>
      </c>
    </row>
    <row r="4" customFormat="false" ht="15" hidden="false" customHeight="true" outlineLevel="0" collapsed="false">
      <c r="A4" s="14" t="s">
        <v>229</v>
      </c>
      <c r="B4" s="6" t="n">
        <v>904000</v>
      </c>
      <c r="C4" s="26" t="n">
        <f aca="false">B4/$B$13</f>
        <v>0.709576138147567</v>
      </c>
      <c r="D4" s="7" t="s">
        <v>230</v>
      </c>
    </row>
    <row r="5" customFormat="false" ht="15" hidden="false" customHeight="true" outlineLevel="0" collapsed="false">
      <c r="A5" s="14" t="s">
        <v>231</v>
      </c>
      <c r="B5" s="6" t="n">
        <v>0</v>
      </c>
      <c r="C5" s="26" t="n">
        <f aca="false">B5/$B$13</f>
        <v>0</v>
      </c>
      <c r="D5" s="14"/>
    </row>
    <row r="6" customFormat="false" ht="15" hidden="false" customHeight="true" outlineLevel="0" collapsed="false">
      <c r="A6" s="14" t="s">
        <v>232</v>
      </c>
      <c r="B6" s="6" t="n">
        <v>90000</v>
      </c>
      <c r="C6" s="26" t="n">
        <f aca="false">B6/$B$13</f>
        <v>0.0706436420722135</v>
      </c>
      <c r="D6" s="7" t="s">
        <v>233</v>
      </c>
    </row>
    <row r="7" customFormat="false" ht="15" hidden="false" customHeight="true" outlineLevel="0" collapsed="false">
      <c r="A7" s="14" t="s">
        <v>234</v>
      </c>
      <c r="B7" s="6" t="n">
        <v>70000</v>
      </c>
      <c r="C7" s="26" t="n">
        <f aca="false">B7/$B$13</f>
        <v>0.0549450549450549</v>
      </c>
      <c r="D7" s="7" t="s">
        <v>235</v>
      </c>
    </row>
    <row r="8" customFormat="false" ht="15" hidden="false" customHeight="true" outlineLevel="0" collapsed="false">
      <c r="A8" s="14" t="s">
        <v>69</v>
      </c>
      <c r="B8" s="6" t="n">
        <v>45000</v>
      </c>
      <c r="C8" s="26" t="n">
        <f aca="false">B8/$B$13</f>
        <v>0.0353218210361068</v>
      </c>
      <c r="D8" s="7" t="s">
        <v>236</v>
      </c>
    </row>
    <row r="9" customFormat="false" ht="15" hidden="false" customHeight="true" outlineLevel="0" collapsed="false">
      <c r="A9" s="14" t="s">
        <v>237</v>
      </c>
      <c r="B9" s="6" t="n">
        <v>30000</v>
      </c>
      <c r="C9" s="26" t="n">
        <f aca="false">B9/$B$13</f>
        <v>0.0235478806907378</v>
      </c>
      <c r="D9" s="7" t="s">
        <v>238</v>
      </c>
    </row>
    <row r="10" customFormat="false" ht="15" hidden="false" customHeight="true" outlineLevel="0" collapsed="false">
      <c r="A10" s="14" t="s">
        <v>71</v>
      </c>
      <c r="B10" s="6" t="n">
        <v>25000</v>
      </c>
      <c r="C10" s="26" t="n">
        <f aca="false">B10/$B$13</f>
        <v>0.0196232339089482</v>
      </c>
      <c r="D10" s="7" t="s">
        <v>239</v>
      </c>
    </row>
    <row r="11" customFormat="false" ht="15" hidden="false" customHeight="true" outlineLevel="0" collapsed="false">
      <c r="A11" s="14" t="s">
        <v>72</v>
      </c>
      <c r="B11" s="6" t="n">
        <v>15000</v>
      </c>
      <c r="C11" s="26" t="n">
        <f aca="false">B11/$B$13</f>
        <v>0.0117739403453689</v>
      </c>
      <c r="D11" s="7" t="s">
        <v>240</v>
      </c>
    </row>
    <row r="12" customFormat="false" ht="15" hidden="false" customHeight="true" outlineLevel="0" collapsed="false">
      <c r="A12" s="14" t="s">
        <v>73</v>
      </c>
      <c r="B12" s="6" t="n">
        <v>95000</v>
      </c>
      <c r="C12" s="26" t="n">
        <f aca="false">B12/$B$13</f>
        <v>0.0745682888540031</v>
      </c>
      <c r="D12" s="7" t="s">
        <v>241</v>
      </c>
    </row>
    <row r="13" customFormat="false" ht="15" hidden="false" customHeight="true" outlineLevel="0" collapsed="false">
      <c r="A13" s="13" t="s">
        <v>242</v>
      </c>
      <c r="B13" s="20" t="n">
        <f aca="false">SUM(B4:B12)</f>
        <v>1274000</v>
      </c>
      <c r="C13" s="43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244</v>
      </c>
      <c r="B3" s="22" t="s">
        <v>141</v>
      </c>
      <c r="C3" s="22" t="s">
        <v>142</v>
      </c>
      <c r="D3" s="22" t="s">
        <v>143</v>
      </c>
      <c r="E3" s="22" t="s">
        <v>144</v>
      </c>
      <c r="F3" s="22" t="s">
        <v>145</v>
      </c>
      <c r="G3" s="22" t="s">
        <v>146</v>
      </c>
      <c r="H3" s="22" t="s">
        <v>147</v>
      </c>
    </row>
    <row r="4" customFormat="false" ht="15" hidden="false" customHeight="true" outlineLevel="0" collapsed="false">
      <c r="A4" s="34" t="s">
        <v>245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246</v>
      </c>
      <c r="B5" s="44" t="s">
        <v>247</v>
      </c>
      <c r="C5" s="26" t="n">
        <f aca="false">IFERROR('4_PnL_Forecast'!C9/'4_PnL_Forecast'!B9-1,0)</f>
        <v>6.6</v>
      </c>
      <c r="D5" s="26" t="n">
        <f aca="false">IFERROR('4_PnL_Forecast'!D9/'4_PnL_Forecast'!C9-1,0)</f>
        <v>2</v>
      </c>
      <c r="E5" s="26" t="n">
        <f aca="false">IFERROR('4_PnL_Forecast'!E9/'4_PnL_Forecast'!D9-1,0)</f>
        <v>1.45614035087719</v>
      </c>
      <c r="F5" s="26" t="n">
        <f aca="false">IFERROR('4_PnL_Forecast'!F9/'4_PnL_Forecast'!E9-1,0)</f>
        <v>0.892857142857143</v>
      </c>
      <c r="G5" s="26" t="n">
        <f aca="false">IFERROR('4_PnL_Forecast'!G9/'4_PnL_Forecast'!F9-1,0)</f>
        <v>0.707547169811321</v>
      </c>
      <c r="H5" s="26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160</v>
      </c>
      <c r="B6" s="26" t="n">
        <f aca="false">IFERROR('4_PnL_Forecast'!B17/'4_PnL_Forecast'!B9,0)</f>
        <v>-0.6</v>
      </c>
      <c r="C6" s="26" t="n">
        <f aca="false">IFERROR('4_PnL_Forecast'!C17/'4_PnL_Forecast'!C9,0)</f>
        <v>0.631578947368421</v>
      </c>
      <c r="D6" s="26" t="n">
        <f aca="false">IFERROR('4_PnL_Forecast'!D17/'4_PnL_Forecast'!D9,0)</f>
        <v>0.785087719298246</v>
      </c>
      <c r="E6" s="26" t="n">
        <f aca="false">IFERROR('4_PnL_Forecast'!E17/'4_PnL_Forecast'!E9,0)</f>
        <v>0.85</v>
      </c>
      <c r="F6" s="26" t="n">
        <f aca="false">IFERROR('4_PnL_Forecast'!F17/'4_PnL_Forecast'!F9,0)</f>
        <v>0.867924528301887</v>
      </c>
      <c r="G6" s="26" t="n">
        <f aca="false">IFERROR('4_PnL_Forecast'!G17/'4_PnL_Forecast'!G9,0)</f>
        <v>0.878453038674033</v>
      </c>
      <c r="H6" s="26" t="n">
        <f aca="false">IFERROR('4_PnL_Forecast'!H17/'4_PnL_Forecast'!H9,0)</f>
        <v>0.885813148788927</v>
      </c>
    </row>
    <row r="7" customFormat="false" ht="15" hidden="false" customHeight="true" outlineLevel="0" collapsed="false">
      <c r="A7" s="34" t="s">
        <v>172</v>
      </c>
      <c r="B7" s="26" t="n">
        <f aca="false">IFERROR('4_PnL_Forecast'!B31/'4_PnL_Forecast'!B9,0)</f>
        <v>-10.94</v>
      </c>
      <c r="C7" s="26" t="n">
        <f aca="false">IFERROR('4_PnL_Forecast'!C31/'4_PnL_Forecast'!C9,0)</f>
        <v>-1.71052631578947</v>
      </c>
      <c r="D7" s="26" t="n">
        <f aca="false">IFERROR('4_PnL_Forecast'!D31/'4_PnL_Forecast'!D9,0)</f>
        <v>-0.315789473684211</v>
      </c>
      <c r="E7" s="26" t="n">
        <f aca="false">IFERROR('4_PnL_Forecast'!E31/'4_PnL_Forecast'!E9,0)</f>
        <v>0.208928571428571</v>
      </c>
      <c r="F7" s="26" t="n">
        <f aca="false">IFERROR('4_PnL_Forecast'!F31/'4_PnL_Forecast'!F9,0)</f>
        <v>0.397169811320755</v>
      </c>
      <c r="G7" s="26" t="n">
        <f aca="false">IFERROR('4_PnL_Forecast'!G31/'4_PnL_Forecast'!G9,0)</f>
        <v>0.51767955801105</v>
      </c>
      <c r="H7" s="26" t="n">
        <f aca="false">IFERROR('4_PnL_Forecast'!H31/'4_PnL_Forecast'!H9,0)</f>
        <v>0.602076124567474</v>
      </c>
    </row>
    <row r="8" customFormat="false" ht="15" hidden="false" customHeight="true" outlineLevel="0" collapsed="false">
      <c r="A8" s="34" t="s">
        <v>248</v>
      </c>
      <c r="B8" s="35" t="n">
        <f aca="false">'5_Cashflow'!B23</f>
        <v>1048</v>
      </c>
      <c r="C8" s="35" t="n">
        <f aca="false">'5_Cashflow'!C23</f>
        <v>1448</v>
      </c>
      <c r="D8" s="35" t="n">
        <f aca="false">'5_Cashflow'!D23</f>
        <v>1085.692542625</v>
      </c>
      <c r="E8" s="35" t="n">
        <f aca="false">'5_Cashflow'!E23</f>
        <v>1115.1325332</v>
      </c>
      <c r="F8" s="35" t="n">
        <f aca="false">'5_Cashflow'!F23</f>
        <v>2223.50906675625</v>
      </c>
      <c r="G8" s="35" t="n">
        <f aca="false">'5_Cashflow'!G23</f>
        <v>5185.82214329375</v>
      </c>
      <c r="H8" s="35" t="n">
        <f aca="false">'5_Cashflow'!H23</f>
        <v>11058.3217628125</v>
      </c>
    </row>
    <row r="9" customFormat="false" ht="15" hidden="false" customHeight="true" outlineLevel="0" collapsed="false">
      <c r="A9" s="45" t="s">
        <v>249</v>
      </c>
      <c r="B9" s="46" t="n">
        <f aca="false">'6_Balance_Sheet'!B31</f>
        <v>0</v>
      </c>
      <c r="C9" s="46" t="n">
        <f aca="false">'6_Balance_Sheet'!C31</f>
        <v>0</v>
      </c>
      <c r="D9" s="46" t="n">
        <f aca="false">'6_Balance_Sheet'!D31</f>
        <v>0</v>
      </c>
      <c r="E9" s="46" t="n">
        <f aca="false">'6_Balance_Sheet'!E31</f>
        <v>0</v>
      </c>
      <c r="F9" s="46" t="n">
        <f aca="false">'6_Balance_Sheet'!F31</f>
        <v>0</v>
      </c>
      <c r="G9" s="46" t="n">
        <f aca="false">'6_Balance_Sheet'!G31</f>
        <v>0</v>
      </c>
      <c r="H9" s="46" t="n">
        <f aca="false">'6_Balance_Sheet'!H31</f>
        <v>0</v>
      </c>
    </row>
    <row r="10" customFormat="false" ht="15" hidden="false" customHeight="true" outlineLevel="0" collapsed="false">
      <c r="A10" s="34" t="s">
        <v>250</v>
      </c>
      <c r="B10" s="47" t="n">
        <f aca="false">IFERROR('4_PnL_Forecast'!B31/MAX(1,('3_Interest_Repayment'!G4+'3_Interest_Repayment'!H4)/1000),0)</f>
        <v>-547</v>
      </c>
      <c r="C10" s="47" t="n">
        <f aca="false">IFERROR('4_PnL_Forecast'!C31/MAX(1,('3_Interest_Repayment'!G5+'3_Interest_Repayment'!H5)/1000),0)</f>
        <v>-650</v>
      </c>
      <c r="D10" s="47" t="n">
        <f aca="false">IFERROR('4_PnL_Forecast'!D31/MAX(1,('3_Interest_Repayment'!G6+'3_Interest_Repayment'!H6)/1000),0)</f>
        <v>-1.27520542088195</v>
      </c>
      <c r="E10" s="47" t="n">
        <f aca="false">IFERROR('4_PnL_Forecast'!E31/MAX(1,('3_Interest_Repayment'!G7+'3_Interest_Repayment'!H7)/1000),0)</f>
        <v>2.19052937364077</v>
      </c>
      <c r="F10" s="47" t="n">
        <f aca="false">IFERROR('4_PnL_Forecast'!F31/MAX(1,('3_Interest_Repayment'!G8+'3_Interest_Repayment'!H8)/1000),0)</f>
        <v>8.35947707085473</v>
      </c>
      <c r="G10" s="47" t="n">
        <f aca="false">IFERROR('4_PnL_Forecast'!G31/MAX(1,('3_Interest_Repayment'!G9+'3_Interest_Repayment'!H9)/1000),0)</f>
        <v>19.8045930934469</v>
      </c>
      <c r="H10" s="47" t="n">
        <f aca="false">IFERROR('4_PnL_Forecast'!H31/MAX(1,('3_Interest_Repayment'!G10+'3_Interest_Repayment'!H10)/1000),0)</f>
        <v>39.3109181964928</v>
      </c>
    </row>
    <row r="12" customFormat="false" ht="21.75" hidden="false" customHeight="true" outlineLevel="0" collapsed="false">
      <c r="A12" s="5" t="s">
        <v>251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4" t="s">
        <v>252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253</v>
      </c>
      <c r="B14" s="36" t="n">
        <f aca="false">B13*IFERROR('4_PnL_Forecast'!B17/'4_PnL_Forecast'!B9,0)</f>
        <v>-21</v>
      </c>
      <c r="C14" s="36" t="n">
        <f aca="false">C13*IFERROR('4_PnL_Forecast'!C17/'4_PnL_Forecast'!C9,0)</f>
        <v>168</v>
      </c>
      <c r="D14" s="36" t="n">
        <f aca="false">D13*IFERROR('4_PnL_Forecast'!D17/'4_PnL_Forecast'!D9,0)</f>
        <v>626.5</v>
      </c>
      <c r="E14" s="36" t="n">
        <f aca="false">E13*IFERROR('4_PnL_Forecast'!E17/'4_PnL_Forecast'!E9,0)</f>
        <v>1666</v>
      </c>
      <c r="F14" s="36" t="n">
        <f aca="false">F13*IFERROR('4_PnL_Forecast'!F17/'4_PnL_Forecast'!F9,0)</f>
        <v>3220</v>
      </c>
      <c r="G14" s="36" t="n">
        <f aca="false">G13*IFERROR('4_PnL_Forecast'!G17/'4_PnL_Forecast'!G9,0)</f>
        <v>5565</v>
      </c>
      <c r="H14" s="36" t="n">
        <f aca="false">H13*IFERROR('4_PnL_Forecast'!H17/'4_PnL_Forecast'!H9,0)</f>
        <v>8960</v>
      </c>
    </row>
    <row r="15" customFormat="false" ht="15" hidden="false" customHeight="true" outlineLevel="0" collapsed="false">
      <c r="A15" s="3" t="s">
        <v>254</v>
      </c>
      <c r="B15" s="31" t="n">
        <f aca="false">B14-'4_PnL_Forecast'!B29</f>
        <v>-538</v>
      </c>
      <c r="C15" s="31" t="n">
        <f aca="false">C14-'4_PnL_Forecast'!C29</f>
        <v>-722</v>
      </c>
      <c r="D15" s="31" t="n">
        <f aca="false">D14-'4_PnL_Forecast'!D29</f>
        <v>-628.5</v>
      </c>
      <c r="E15" s="31" t="n">
        <f aca="false">E14-'4_PnL_Forecast'!E29</f>
        <v>-129</v>
      </c>
      <c r="F15" s="31" t="n">
        <f aca="false">F14-'4_PnL_Forecast'!F29</f>
        <v>725</v>
      </c>
      <c r="G15" s="31" t="n">
        <f aca="false">G14-'4_PnL_Forecast'!G29</f>
        <v>2300</v>
      </c>
      <c r="H15" s="31" t="n">
        <f aca="false">H14-'4_PnL_Forecast'!H29</f>
        <v>4860</v>
      </c>
    </row>
    <row r="16" customFormat="false" ht="15" hidden="false" customHeight="true" outlineLevel="0" collapsed="false">
      <c r="A16" s="3" t="s">
        <v>255</v>
      </c>
      <c r="B16" s="48" t="n">
        <f aca="false">IFERROR(B15/MAX(1,('3_Interest_Repayment'!G4+'3_Interest_Repayment'!H4)/1000),0)</f>
        <v>-538</v>
      </c>
      <c r="C16" s="48" t="n">
        <f aca="false">IFERROR(C15/MAX(1,('3_Interest_Repayment'!G5+'3_Interest_Repayment'!H5)/1000),0)</f>
        <v>-722</v>
      </c>
      <c r="D16" s="48" t="n">
        <f aca="false">IFERROR(D15/MAX(1,('3_Interest_Repayment'!G6+'3_Interest_Repayment'!H6)/1000),0)</f>
        <v>-2.22629613062307</v>
      </c>
      <c r="E16" s="48" t="n">
        <f aca="false">IFERROR(E15/MAX(1,('3_Interest_Repayment'!G7+'3_Interest_Repayment'!H7)/1000),0)</f>
        <v>-0.48303981059771</v>
      </c>
      <c r="F16" s="48" t="n">
        <f aca="false">IFERROR(F15/MAX(1,('3_Interest_Repayment'!G8+'3_Interest_Repayment'!H8)/1000),0)</f>
        <v>2.87915481062692</v>
      </c>
      <c r="G16" s="48" t="n">
        <f aca="false">IFERROR(G15/MAX(1,('3_Interest_Repayment'!G9+'3_Interest_Repayment'!H9)/1000),0)</f>
        <v>9.72263908536349</v>
      </c>
      <c r="H16" s="48" t="n">
        <f aca="false">IFERROR(H15/MAX(1,('3_Interest_Repayment'!G10+'3_Interest_Repayment'!H10)/1000),0)</f>
        <v>21.9598922339029</v>
      </c>
    </row>
    <row r="18" customFormat="false" ht="21.75" hidden="false" customHeight="true" outlineLevel="0" collapsed="false">
      <c r="A18" s="5" t="s">
        <v>256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4" t="s">
        <v>257</v>
      </c>
      <c r="B19" s="49" t="n">
        <f aca="false">'1_Cover_Assumptions'!B55</f>
        <v>0.735420292697277</v>
      </c>
      <c r="D19" s="11" t="s">
        <v>258</v>
      </c>
    </row>
    <row r="20" customFormat="false" ht="15" hidden="false" customHeight="true" outlineLevel="0" collapsed="false">
      <c r="A20" s="34" t="s">
        <v>259</v>
      </c>
      <c r="B20" s="46" t="n">
        <f aca="false">MIN('6_Balance_Sheet'!B32:H32)</f>
        <v>4.40365333290323</v>
      </c>
      <c r="D20" s="11" t="s">
        <v>260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2026-05-09T13:37:21Z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