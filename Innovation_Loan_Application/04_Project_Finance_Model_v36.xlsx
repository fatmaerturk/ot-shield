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<sst xmlns="http://schemas.openxmlformats.org/spreadsheetml/2006/main" count="290" uniqueCount="261">
  <si>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</si>
  <si>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</si>
  <si>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</si>
  <si>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</si>
  <si>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</si>
  <si>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</si>
  <si>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</si>
  <si>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</si>
  <si>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</si>
  <si>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</si>
  <si>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</si>
  <si>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</si>
  <si>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</si>
  <si>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</si>
  <si>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</si>
  <si>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Within Cycle 1 maximum (£1M); calibrated to lean delivery profile</t>
  </si>
  <si>
    <t xml:space="preserve">Project period (months)</t>
  </si>
  <si>
    <t xml:space="preserve">18-month commercialisation push; within Cycle 1 3-year cap</t>
  </si>
  <si>
    <t xml:space="preserve">Repayment period (months)</t>
  </si>
  <si>
    <t xml:space="preserve">5 years post-project; total term 6.5 yrs (within 7-yr cap)</t>
  </si>
  <si>
    <t xml:space="preserve">Project start (planned)</t>
  </si>
  <si>
    <t xml:space="preserve">01-Aug-2026</t>
  </si>
  <si>
    <t xml:space="preserve">Indicative; actual start follows Innovate UK Loans Ltd contract</t>
  </si>
  <si>
    <t xml:space="preserve">Project end (planned)</t>
  </si>
  <si>
    <t xml:space="preserve">31-Jan-2028</t>
  </si>
  <si>
    <t xml:space="preserve">Project end at month 18 (M18)</t>
  </si>
  <si>
    <t xml:space="preserve">Repayment start (planned)</t>
  </si>
  <si>
    <t xml:space="preserve">01-Feb-2028</t>
  </si>
  <si>
    <t xml:space="preserve">Repayment starts immediately after project (no deferred year)</t>
  </si>
  <si>
    <t xml:space="preserve">Repayment end (planned)</t>
  </si>
  <si>
    <t xml:space="preserve">31-Jan-2033</t>
  </si>
  <si>
    <t xml:space="preserve">Loan fully repaid; total term 6.5 years from project start</t>
  </si>
  <si>
    <t xml:space="preserve">Drawdown frequency</t>
  </si>
  <si>
    <t xml:space="preserve">Quarterly</t>
  </si>
  <si>
    <t xml:space="preserve">6 quarterly tranches over 18 months</t>
  </si>
  <si>
    <t xml:space="preserve">Interest rate - project period</t>
  </si>
  <si>
    <t xml:space="preserve">3.7% during 18-month project period (indicative; confirm at Stage 2)</t>
  </si>
  <si>
    <t xml:space="preserve">Interest rate - deferred (post-project, pre-repay)</t>
  </si>
  <si>
    <t xml:space="preserve">Not applicable: this plan has no deferred year (repayment starts immediately at M18)</t>
  </si>
  <si>
    <t xml:space="preserve">Interest rate - repayment period</t>
  </si>
  <si>
    <t xml:space="preserve">7.4% during 5-yr repayment (indicative; confirm at Stage 2)</t>
  </si>
  <si>
    <t xml:space="preserve">Subsidy Intensity &amp; Compliance Targets</t>
  </si>
  <si>
    <t xml:space="preserve">Subsidy intensity cap (Innovate UK SME Industrial Research)</t>
  </si>
  <si>
    <t xml:space="preserve">Innovate UK rule - subsidy intensity must stay below 80% for SME IR</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</si>
  <si>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</si>
  <si>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</si>
  <si>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</si>
  <si>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</si>
  <si>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</si>
  <si>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</si>
  <si>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</si>
  <si>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</si>
  <si>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Fatma Erturk - CEO</t>
  </si>
  <si>
    <t xml:space="preserve">[CTO Name] - CTO (new hire, M1-M3 onboarding)</t>
  </si>
  <si>
    <t xml:space="preserve">Alan Jenkins - Cyber Security Advisor</t>
  </si>
  <si>
    <t xml:space="preserve">Jon Medvenics - Senior Cyber Security Expert and AI Verifier</t>
  </si>
  <si>
    <t xml:space="preserve">Diana Polansky - Marketing Advisor</t>
  </si>
  <si>
    <t xml:space="preserve">Henrique Santos - Junior Marketing &amp; Customer Success Lead (dual role)</t>
  </si>
  <si>
    <t xml:space="preserve">Dhruv Rathod - Junior Cyber Security Engineer</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</si>
  <si>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</si>
  <si>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</si>
  <si>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</si>
  <si>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</si>
  <si>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</si>
  <si>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</si>
  <si>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</si>
  <si>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</si>
  <si>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</si>
  <si>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</si>
  <si>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</si>
  <si>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TOTAL ELIGIBLE PROJECT COSTS (loan-eligible base)</t>
  </si>
  <si>
    <t xml:space="preserve">Matched funding (VC follow-on round £1M, soft interest - drawn against £190k matched portion at M9 trigger)</t>
  </si>
  <si>
    <t xml:space="preserve">TOTAL FUNDING (Loan + Matched)</t>
  </si>
  <si>
    <t xml:space="preserve">Subsidy intensity (Loan / Total eligible costs)</t>
  </si>
  <si>
    <t xml:space="preserve">must be ≤ 80% - flagged YELLOW (current 79.49%)</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</si>
  <si>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</si>
  <si>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</si>
  <si>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</si>
  <si>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£700K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</si>
  <si>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</si>
  <si>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</si>
  <si>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</si>
  <si>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</si>
  <si>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</si>
  <si>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</si>
  <si>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</si>
  <si>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</si>
  <si>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</si>
  <si>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</si>
  <si>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</si>
  <si>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</si>
  <si>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</si>
  <si>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</si>
  <si>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</si>
  <si>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</si>
  <si>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</si>
  <si>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</si>
  <si>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</si>
  <si>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</si>
  <si>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</si>
  <si>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</si>
  <si>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</si>
  <si>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</si>
  <si>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</si>
  <si>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</si>
  <si>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</si>
  <si>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</si>
  <si>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</si>
  <si>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</si>
  <si>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</si>
  <si>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</si>
  <si>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</si>
  <si>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</si>
  <si>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</si>
  <si>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</si>
  <si>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</si>
  <si>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</si>
  <si>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</si>
  <si>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</si>
  <si>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</si>
  <si>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</si>
  <si>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</si>
  <si>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</si>
  <si>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</si>
  <si>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</si>
  <si>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</si>
  <si>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</si>
  <si>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</si>
  <si>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</si>
  <si>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</si>
  <si>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</si>
  <si>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~£144,217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</si>
  <si>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</si>
  <si>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</si>
  <si>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</si>
  <si>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</si>
  <si>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</si>
  <si>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</si>
  <si>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</si>
  <si>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</si>
  <si>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</si>
  <si>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</si>
  <si>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</si>
  <si>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</si>
  <si>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</si>
  <si>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</si>
  <si>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</si>
  <si>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</si>
  <si>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</si>
  <si>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</si>
  <si>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</si>
  <si>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</si>
  <si>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</si>
  <si>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</si>
  <si>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</si>
  <si>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</si>
  <si>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</si>
  <si>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</si>
  <si>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</si>
  <si>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</si>
  <si>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</si>
  <si>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</si>
  <si>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</si>
  <si>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</si>
  <si>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</si>
  <si>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</si>
  <si>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</si>
  <si>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</si>
  <si>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</si>
  <si>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</si>
  <si>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</si>
  <si>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</si>
  <si>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</si>
  <si>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</si>
  <si>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</si>
  <si>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</si>
  <si>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</si>
  <si>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</si>
  <si>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</si>
  <si>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</si>
  <si>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</si>
  <si>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</si>
  <si>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</si>
  <si>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</si>
  <si>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</si>
  <si>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</si>
  <si>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</si>
  <si>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</si>
  <si>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</si>
  <si>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</si>
  <si>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</si>
  <si>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</si>
  <si>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</si>
  <si>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</si>
  <si>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</si>
  <si>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</si>
  <si>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</si>
  <si>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</si>
  <si>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</si>
  <si>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</si>
  <si>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</si>
  <si>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</si>
  <si>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</si>
  <si>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</si>
  <si>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</si>
  <si>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</si>
  <si>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</si>
  <si>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</si>
  <si>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</si>
  <si>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</si>
  <si>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</si>
  <si>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</si>
  <si>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</si>
  <si>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</si>
  <si>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</si>
  <si>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</si>
  <si>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</si>
  <si>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</si>
  <si>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</si>
  <si>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£700K Loan against £880,567 Eligible Project Cost</t>
  </si>
  <si>
    <t xml:space="preserve">Category</t>
  </si>
  <si>
    <t xml:space="preserve">£</t>
  </si>
  <si>
    <t xml:space="preserve">% of total</t>
  </si>
  <si>
    <t xml:space="preserve">Notes</t>
  </si>
  <si>
    <t xml:space="preserve">Personnel - internal team (7 named members, 4.2 FTE-equivalent)</t>
  </si>
  <si>
    <t xml:space="preserve">6 existing members + 1 senior hire (CTO, M1-M3 onboarding)</t>
  </si>
  <si>
    <t xml:space="preserve">Cloud / sovereign UK lab infrastructure</t>
  </si>
  <si>
    <t xml:space="preserve">UK-sovereign cloud + telemetry + threat-intel feed infrastructure</t>
  </si>
  <si>
    <t xml:space="preserve">Multi-vendor protocol coverage</t>
  </si>
  <si>
    <t xml:space="preserve">Pen-test / IEC 62443 assurance (CREST-certified)</t>
  </si>
  <si>
    <t xml:space="preserve">Stage-gated assurance M6 / M12 / M18</t>
  </si>
  <si>
    <t xml:space="preserve">Travel &amp; customer pilots</t>
  </si>
  <si>
    <t xml:space="preserve">5 UK CNI lighthouses + 2 defence reference engagements</t>
  </si>
  <si>
    <t xml:space="preserve">UK + select international filings</t>
  </si>
  <si>
    <t xml:space="preserve">UK GDPR / NIS-aligned</t>
  </si>
  <si>
    <t xml:space="preserve">Contingency (~7.4%)</t>
  </si>
  <si>
    <t xml:space="preserve">Standard Cycle 1 contingency</t>
  </si>
  <si>
    <t xml:space="preserve">TOTAL ELIGIBLE PROJECT COST</t>
  </si>
  <si>
    <t xml:space="preserve">Innovate UK Loan request</t>
  </si>
  <si>
    <t xml:space="preserve">Subsidy intensity (loan / eligible cost) - target ≤ 80%</t>
  </si>
  <si>
    <t xml:space="preserve">Matched funding (VC follow-on round £1M, soft interest)</t>
  </si>
  <si>
    <t xml:space="preserve">£190K of £1M VC round; M9 trigger</t>
  </si>
  <si>
    <t xml:space="preserve">TOTAL PROJECT FINANCING (loan + matched)</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</si>
  <si>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</si>
  <si>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</si>
  <si>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</si>
  <si>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</si>
  <si>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</si>
  <si>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</si>
  <si>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</si>
  <si>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</si>
  <si>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</si>
  <si>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</si>
  <si>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</si>
  <si>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</si>
  <si>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</si>
  <si>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</si>
  <si>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</si>
  <si>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80% (SME Industrial Research)</t>
  </si>
  <si>
    <t xml:space="preserve">Min liquidity ratio across project (Y1-Y3)</t>
  </si>
  <si>
    <t xml:space="preserve">Target ≥ 1.10</t>
  </si>
</sst>
</file>

<file path=xl/styles.xml><?xml version="1.0" encoding="utf-8"?>
<styleSheet xmlns="http://schemas.openxmlformats.org/spreadsheetml/2006/main">
  <numFmts count="9">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 numFmtId="172" formatCode="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right" vertical="center" textRotation="0" wrapText="false" indent="0" shrinkToFit="false"/>
      <protection locked="true" hidden="false"/>
    </xf>
    <xf numFmtId="172" fontId="9" fillId="0" borderId="0" xfId="0" applyFont="true" applyBorder="false" applyAlignment="true" applyProtection="false">
      <alignment horizontal="right" vertical="center" textRotation="0" wrapText="false" indent="0" shrinkToFit="false"/>
      <protection locked="true" hidden="false"/>
    </xf>
    <xf numFmtId="172" fontId="7" fillId="2"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7" fontId="7"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40</v>
      </c>
    </row>
    <row r="22" customFormat="false" ht="21.75" hidden="false" customHeight="true" outlineLevel="0" collapsed="false">
      <c r="A22" s="5" t="s">
        <v>41</v>
      </c>
      <c r="B22" s="5"/>
      <c r="C22" s="5"/>
      <c r="D22" s="5"/>
      <c r="E22" s="5"/>
      <c r="F22" s="5"/>
    </row>
    <row r="23" customFormat="false" ht="15" hidden="false" customHeight="true" outlineLevel="0" collapsed="false">
      <c r="A23" s="3" t="s">
        <v>42</v>
      </c>
      <c r="B23" s="10" t="n">
        <v>0.8</v>
      </c>
      <c r="D23" s="11" t="s">
        <v>43</v>
      </c>
    </row>
    <row r="24" customFormat="false" ht="15" hidden="false" customHeight="true" outlineLevel="0" collapsed="false">
      <c r="A24" s="3" t="s">
        <v>44</v>
      </c>
      <c r="B24" s="12" t="n">
        <v>1.1</v>
      </c>
      <c r="D24" s="11" t="s">
        <v>45</v>
      </c>
    </row>
    <row r="25" customFormat="false" ht="21.75" hidden="false" customHeight="true" outlineLevel="0" collapsed="false">
      <c r="A25" s="5" t="s">
        <v>46</v>
      </c>
      <c r="B25" s="5"/>
      <c r="C25" s="5"/>
      <c r="D25" s="5"/>
      <c r="E25" s="5"/>
      <c r="F25" s="5"/>
    </row>
    <row r="26" customFormat="false" ht="15" hidden="false" customHeight="true" outlineLevel="0" collapsed="false">
      <c r="A26" s="13" t="s">
        <v>47</v>
      </c>
      <c r="B26" s="13" t="s">
        <v>48</v>
      </c>
      <c r="C26" s="13" t="s">
        <v>49</v>
      </c>
      <c r="D26" s="13" t="s">
        <v>50</v>
      </c>
      <c r="E26" s="13" t="s">
        <v>51</v>
      </c>
    </row>
    <row r="27" customFormat="false" ht="15" hidden="false" customHeight="true" outlineLevel="0" collapsed="false">
      <c r="A27" s="14" t="s">
        <v>52</v>
      </c>
      <c r="B27" s="6" t="n">
        <v>120000</v>
      </c>
      <c r="C27" s="15" t="n">
        <v>1</v>
      </c>
      <c r="D27" s="16" t="n">
        <v>18</v>
      </c>
      <c r="E27" s="17" t="n">
        <f aca="false">B27*C27*D27/12</f>
        <v>180000</v>
      </c>
    </row>
    <row r="28" customFormat="false" ht="15" hidden="false" customHeight="true" outlineLevel="0" collapsed="false">
      <c r="A28" s="14" t="s">
        <v>53</v>
      </c>
      <c r="B28" s="6" t="n">
        <v>110000</v>
      </c>
      <c r="C28" s="15" t="n">
        <v>1</v>
      </c>
      <c r="D28" s="16" t="n">
        <v>16</v>
      </c>
      <c r="E28" s="17" t="n">
        <f aca="false">B28*C28*D28/12</f>
        <v>146666.666666667</v>
      </c>
    </row>
    <row r="29" customFormat="false" ht="15" hidden="false" customHeight="true" outlineLevel="0" collapsed="false">
      <c r="A29" s="14" t="s">
        <v>54</v>
      </c>
      <c r="B29" s="6" t="n">
        <v>208000</v>
      </c>
      <c r="C29" s="15" t="n">
        <v>0.2</v>
      </c>
      <c r="D29" s="16" t="n">
        <v>18</v>
      </c>
      <c r="E29" s="17" t="n">
        <f aca="false">B29*C29*D29/12</f>
        <v>62400</v>
      </c>
    </row>
    <row r="30" customFormat="false" ht="15" hidden="false" customHeight="true" outlineLevel="0" collapsed="false">
      <c r="A30" s="14" t="s">
        <v>55</v>
      </c>
      <c r="B30" s="6" t="n">
        <v>132000</v>
      </c>
      <c r="C30" s="15" t="n">
        <v>0.5</v>
      </c>
      <c r="D30" s="16" t="n">
        <v>18</v>
      </c>
      <c r="E30" s="17" t="n">
        <f aca="false">B30*C30*D30/12</f>
        <v>99000</v>
      </c>
    </row>
    <row r="31" customFormat="false" ht="15" hidden="false" customHeight="true" outlineLevel="0" collapsed="false">
      <c r="A31" s="14" t="s">
        <v>56</v>
      </c>
      <c r="B31" s="6" t="n">
        <v>110000</v>
      </c>
      <c r="C31" s="15" t="n">
        <v>0.5</v>
      </c>
      <c r="D31" s="16" t="n">
        <v>18</v>
      </c>
      <c r="E31" s="17" t="n">
        <f aca="false">B31*C31*D31/12</f>
        <v>82500</v>
      </c>
    </row>
    <row r="32" customFormat="false" ht="15" hidden="false" customHeight="true" outlineLevel="0" collapsed="false">
      <c r="A32" s="14" t="s">
        <v>57</v>
      </c>
      <c r="B32" s="6" t="n">
        <v>35000</v>
      </c>
      <c r="C32" s="15" t="n">
        <v>1</v>
      </c>
      <c r="D32" s="16" t="n">
        <v>18</v>
      </c>
      <c r="E32" s="17" t="n">
        <f aca="false">B32*C32*D32/12</f>
        <v>52500</v>
      </c>
      <c r="F32" s="7"/>
    </row>
    <row r="33" customFormat="false" ht="15" hidden="false" customHeight="true" outlineLevel="0" collapsed="false">
      <c r="A33" s="14" t="s">
        <v>58</v>
      </c>
      <c r="B33" s="6" t="n">
        <v>33000</v>
      </c>
      <c r="C33" s="15" t="n">
        <v>1</v>
      </c>
      <c r="D33" s="16" t="n">
        <v>18</v>
      </c>
      <c r="E33" s="17" t="n">
        <f aca="false">B33*C33*D33/12</f>
        <v>49500</v>
      </c>
      <c r="F33" s="7"/>
    </row>
    <row r="34" customFormat="false" ht="15" hidden="false" customHeight="true" outlineLevel="0" collapsed="false">
      <c r="A34" s="3" t="s">
        <v>59</v>
      </c>
      <c r="E34" s="18" t="n">
        <f aca="false">SUM(E27:E33)</f>
        <v>672566.666666667</v>
      </c>
    </row>
    <row r="35" customFormat="false" ht="15" hidden="false" customHeight="true" outlineLevel="0" collapsed="false"/>
    <row r="36" customFormat="false" ht="15" hidden="false" customHeight="true" outlineLevel="0" collapsed="false">
      <c r="A36" s="19" t="s">
        <v>60</v>
      </c>
    </row>
    <row r="37" customFormat="false" ht="15" hidden="false" customHeight="true" outlineLevel="0" collapsed="false">
      <c r="A37" s="13" t="s">
        <v>61</v>
      </c>
    </row>
    <row r="38" customFormat="false" ht="15" hidden="false" customHeight="true" outlineLevel="0" collapsed="false">
      <c r="A38" s="14" t="s">
        <v>62</v>
      </c>
      <c r="E38" s="6" t="n">
        <v>50000</v>
      </c>
    </row>
    <row r="39" customFormat="false" ht="21.75" hidden="false" customHeight="true" outlineLevel="0" collapsed="false">
      <c r="A39" s="14" t="s">
        <v>63</v>
      </c>
      <c r="E39" s="6" t="n">
        <v>35000</v>
      </c>
    </row>
    <row r="40" customFormat="false" ht="15" hidden="false" customHeight="true" outlineLevel="0" collapsed="false">
      <c r="A40" s="14" t="s">
        <v>64</v>
      </c>
      <c r="E40" s="6" t="n">
        <v>25000</v>
      </c>
    </row>
    <row r="41" customFormat="false" ht="15" hidden="false" customHeight="true" outlineLevel="0" collapsed="false">
      <c r="A41" s="14" t="s">
        <v>65</v>
      </c>
      <c r="E41" s="6" t="n">
        <v>15000</v>
      </c>
    </row>
    <row r="42" customFormat="false" ht="15" hidden="false" customHeight="true" outlineLevel="0" collapsed="false">
      <c r="A42" s="14" t="s">
        <v>66</v>
      </c>
      <c r="E42" s="6" t="n">
        <v>10000</v>
      </c>
    </row>
    <row r="43" customFormat="false" ht="15" hidden="false" customHeight="true" outlineLevel="0" collapsed="false">
      <c r="A43" s="14" t="s">
        <v>67</v>
      </c>
      <c r="E43" s="6" t="n">
        <v>8000</v>
      </c>
    </row>
    <row r="44" customFormat="false" ht="15" hidden="false" customHeight="true" outlineLevel="0" collapsed="false">
      <c r="A44" s="14" t="s">
        <v>68</v>
      </c>
      <c r="E44" s="6" t="n">
        <v>65000</v>
      </c>
    </row>
    <row r="45" customFormat="false" ht="15" hidden="false" customHeight="true" outlineLevel="0" collapsed="false">
      <c r="A45" s="3" t="s">
        <v>69</v>
      </c>
      <c r="E45" s="18" t="n">
        <f aca="false">SUM(E38:E44)</f>
        <v>208000</v>
      </c>
    </row>
    <row r="46" customFormat="false" ht="15" hidden="false" customHeight="true" outlineLevel="0" collapsed="false">
      <c r="A46" s="7"/>
    </row>
    <row r="47" customFormat="false" ht="15" hidden="false" customHeight="true" outlineLevel="0" collapsed="false">
      <c r="A47" s="13" t="s">
        <v>70</v>
      </c>
      <c r="E47" s="20" t="n">
        <f aca="false">E34+E45</f>
        <v>880566.666666667</v>
      </c>
    </row>
    <row r="48" customFormat="false" ht="15" hidden="false" customHeight="true" outlineLevel="0" collapsed="false">
      <c r="A48" s="14" t="s">
        <v>71</v>
      </c>
      <c r="E48" s="6" t="n">
        <v>190000</v>
      </c>
    </row>
    <row r="49" customFormat="false" ht="37.5" hidden="false" customHeight="true" outlineLevel="0" collapsed="false">
      <c r="A49" s="13" t="s">
        <v>72</v>
      </c>
      <c r="E49" s="20" t="n">
        <f aca="false">B11+E48</f>
        <v>890000</v>
      </c>
    </row>
    <row r="50" customFormat="false" ht="15" hidden="false" customHeight="true" outlineLevel="0" collapsed="false"/>
    <row r="51" customFormat="false" ht="15" hidden="false" customHeight="true" outlineLevel="0" collapsed="false">
      <c r="A51" s="3" t="s">
        <v>73</v>
      </c>
      <c r="B51" s="21" t="n">
        <f aca="false">B11/E47</f>
        <v>0.794942650565924</v>
      </c>
      <c r="D51" s="11" t="s">
        <v>74</v>
      </c>
    </row>
    <row r="52" customFormat="false" ht="15" hidden="false" customHeight="true" outlineLevel="0" collapsed="false">
      <c r="A52" s="7"/>
    </row>
    <row r="53" customFormat="false" ht="15" hidden="false" customHeight="true" outlineLevel="0" collapsed="false">
      <c r="A53" s="3" t="s">
        <v>75</v>
      </c>
      <c r="B53" s="1" t="str">
        <f aca="false">IF(B51&lt;=0.8,"COMPLIANT","REVIEW")</f>
        <v>COMPLIANT</v>
      </c>
    </row>
    <row r="54" customFormat="false" ht="15" hidden="false" customHeight="true" outlineLevel="0" collapsed="false"/>
    <row r="55" customFormat="false" ht="99.75" hidden="false" customHeight="true" outlineLevel="0" collapsed="false">
      <c r="A55" s="22" t="s">
        <v>76</v>
      </c>
      <c r="B55" s="22"/>
      <c r="C55" s="22"/>
      <c r="D55" s="22"/>
      <c r="E55" s="22"/>
      <c r="F55" s="22"/>
    </row>
    <row r="56" customFormat="false" ht="37.5" hidden="false" customHeight="true" outlineLevel="0" collapsed="false"/>
    <row r="57" customFormat="false" ht="79.5" hidden="false" customHeight="true" outlineLevel="0" collapsed="false">
      <c r="A57" s="22" t="s">
        <v>77</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78</v>
      </c>
      <c r="B1" s="2"/>
      <c r="C1" s="2"/>
      <c r="D1" s="2"/>
      <c r="E1" s="2"/>
      <c r="F1" s="2"/>
      <c r="G1" s="2"/>
      <c r="H1" s="2"/>
    </row>
    <row r="3" customFormat="false" ht="15" hidden="false" customHeight="true" outlineLevel="0" collapsed="false">
      <c r="A3" s="23" t="s">
        <v>79</v>
      </c>
      <c r="B3" s="23" t="s">
        <v>80</v>
      </c>
      <c r="C3" s="23" t="s">
        <v>81</v>
      </c>
      <c r="D3" s="23" t="s">
        <v>82</v>
      </c>
      <c r="E3" s="23" t="s">
        <v>83</v>
      </c>
      <c r="F3" s="23" t="s">
        <v>84</v>
      </c>
    </row>
    <row r="4" customFormat="false" ht="15" hidden="false" customHeight="true" outlineLevel="0" collapsed="false">
      <c r="A4" s="24" t="n">
        <v>1</v>
      </c>
      <c r="B4" s="24" t="s">
        <v>85</v>
      </c>
      <c r="C4" s="25" t="s">
        <v>21</v>
      </c>
      <c r="D4" s="6" t="n">
        <v>140000</v>
      </c>
      <c r="E4" s="17" t="n">
        <f aca="false">D4</f>
        <v>140000</v>
      </c>
      <c r="F4" s="14" t="s">
        <v>86</v>
      </c>
    </row>
    <row r="5" customFormat="false" ht="15" hidden="false" customHeight="true" outlineLevel="0" collapsed="false">
      <c r="A5" s="24" t="n">
        <v>2</v>
      </c>
      <c r="B5" s="24" t="s">
        <v>87</v>
      </c>
      <c r="C5" s="25" t="s">
        <v>88</v>
      </c>
      <c r="D5" s="6" t="n">
        <v>140000</v>
      </c>
      <c r="E5" s="17" t="n">
        <f aca="false">E4+D5</f>
        <v>280000</v>
      </c>
      <c r="F5" s="14" t="s">
        <v>89</v>
      </c>
    </row>
    <row r="6" customFormat="false" ht="15" hidden="false" customHeight="true" outlineLevel="0" collapsed="false">
      <c r="A6" s="24" t="n">
        <v>3</v>
      </c>
      <c r="B6" s="24" t="s">
        <v>90</v>
      </c>
      <c r="C6" s="25" t="s">
        <v>91</v>
      </c>
      <c r="D6" s="6" t="n">
        <v>120000</v>
      </c>
      <c r="E6" s="17" t="n">
        <f aca="false">E5+D6</f>
        <v>400000</v>
      </c>
      <c r="F6" s="14" t="s">
        <v>92</v>
      </c>
    </row>
    <row r="7" customFormat="false" ht="15" hidden="false" customHeight="true" outlineLevel="0" collapsed="false">
      <c r="A7" s="24" t="n">
        <v>4</v>
      </c>
      <c r="B7" s="24" t="s">
        <v>93</v>
      </c>
      <c r="C7" s="25" t="s">
        <v>94</v>
      </c>
      <c r="D7" s="6" t="n">
        <v>120000</v>
      </c>
      <c r="E7" s="17" t="n">
        <f aca="false">E6+D7</f>
        <v>520000</v>
      </c>
      <c r="F7" s="14" t="s">
        <v>95</v>
      </c>
    </row>
    <row r="8" customFormat="false" ht="15" hidden="false" customHeight="true" outlineLevel="0" collapsed="false">
      <c r="A8" s="24" t="n">
        <v>5</v>
      </c>
      <c r="B8" s="24" t="s">
        <v>96</v>
      </c>
      <c r="C8" s="25" t="s">
        <v>97</v>
      </c>
      <c r="D8" s="6" t="n">
        <v>100000</v>
      </c>
      <c r="E8" s="17" t="n">
        <f aca="false">E7+D8</f>
        <v>620000</v>
      </c>
      <c r="F8" s="14" t="s">
        <v>98</v>
      </c>
    </row>
    <row r="9" customFormat="false" ht="15" hidden="false" customHeight="true" outlineLevel="0" collapsed="false">
      <c r="A9" s="24" t="n">
        <v>6</v>
      </c>
      <c r="B9" s="24" t="s">
        <v>99</v>
      </c>
      <c r="C9" s="25" t="s">
        <v>100</v>
      </c>
      <c r="D9" s="6" t="n">
        <v>80000</v>
      </c>
      <c r="E9" s="17" t="n">
        <f aca="false">E8+D9</f>
        <v>700000</v>
      </c>
      <c r="F9" s="14" t="s">
        <v>101</v>
      </c>
    </row>
    <row r="10" customFormat="false" ht="15" hidden="false" customHeight="true" outlineLevel="0" collapsed="false">
      <c r="A10" s="13" t="s">
        <v>102</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103</v>
      </c>
      <c r="B1" s="2"/>
      <c r="C1" s="2"/>
      <c r="D1" s="2"/>
      <c r="E1" s="2"/>
      <c r="F1" s="2"/>
      <c r="G1" s="2"/>
      <c r="H1" s="2"/>
      <c r="I1" s="2"/>
    </row>
    <row r="3" customFormat="false" ht="15" hidden="false" customHeight="true" outlineLevel="0" collapsed="false">
      <c r="A3" s="13" t="s">
        <v>104</v>
      </c>
      <c r="B3" s="13" t="s">
        <v>105</v>
      </c>
      <c r="C3" s="13" t="s">
        <v>106</v>
      </c>
      <c r="D3" s="13" t="s">
        <v>107</v>
      </c>
      <c r="E3" s="13" t="s">
        <v>108</v>
      </c>
      <c r="F3" s="13" t="s">
        <v>109</v>
      </c>
      <c r="G3" s="13" t="s">
        <v>110</v>
      </c>
      <c r="H3" s="13" t="s">
        <v>111</v>
      </c>
      <c r="I3" s="13" t="s">
        <v>112</v>
      </c>
    </row>
    <row r="4" customFormat="false" ht="15" hidden="false" customHeight="true" outlineLevel="0" collapsed="false">
      <c r="A4" s="14" t="s">
        <v>113</v>
      </c>
      <c r="B4" s="14" t="s">
        <v>114</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115</v>
      </c>
      <c r="B5" s="14" t="s">
        <v>116</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117</v>
      </c>
      <c r="B6" s="14" t="s">
        <v>118</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119</v>
      </c>
      <c r="B7" s="14" t="s">
        <v>120</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121</v>
      </c>
      <c r="B8" s="14" t="s">
        <v>122</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123</v>
      </c>
      <c r="B9" s="14" t="s">
        <v>124</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125</v>
      </c>
      <c r="B10" s="14" t="s">
        <v>126</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127</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128</v>
      </c>
    </row>
    <row r="14" customFormat="false" ht="15" hidden="false" customHeight="true" outlineLevel="0" collapsed="false">
      <c r="A14" s="22" t="s">
        <v>129</v>
      </c>
      <c r="B14" s="22"/>
      <c r="C14" s="22"/>
      <c r="D14" s="22"/>
      <c r="E14" s="22"/>
      <c r="F14" s="22"/>
      <c r="G14" s="22"/>
      <c r="H14" s="22"/>
      <c r="I14" s="22"/>
    </row>
    <row r="15" customFormat="false" ht="15" hidden="false" customHeight="true" outlineLevel="0" collapsed="false">
      <c r="A15" s="22" t="s">
        <v>130</v>
      </c>
      <c r="B15" s="22"/>
      <c r="C15" s="22"/>
      <c r="D15" s="22"/>
      <c r="E15" s="22"/>
      <c r="F15" s="22"/>
      <c r="G15" s="22"/>
      <c r="H15" s="22"/>
      <c r="I15" s="22"/>
    </row>
    <row r="16" customFormat="false" ht="15" hidden="false" customHeight="true" outlineLevel="0" collapsed="false">
      <c r="A16" s="22" t="s">
        <v>131</v>
      </c>
      <c r="B16" s="22"/>
      <c r="C16" s="22"/>
      <c r="D16" s="22"/>
      <c r="E16" s="22"/>
      <c r="F16" s="22"/>
      <c r="G16" s="22"/>
      <c r="H16" s="22"/>
      <c r="I16" s="22"/>
    </row>
    <row r="17" customFormat="false" ht="15" hidden="false" customHeight="true" outlineLevel="0" collapsed="false">
      <c r="A17" s="22" t="s">
        <v>132</v>
      </c>
      <c r="B17" s="22"/>
      <c r="C17" s="22"/>
      <c r="D17" s="22"/>
      <c r="E17" s="22"/>
      <c r="F17" s="22"/>
      <c r="G17" s="22"/>
      <c r="H17" s="22"/>
      <c r="I17" s="22"/>
    </row>
    <row r="18" customFormat="false" ht="15" hidden="false" customHeight="true" outlineLevel="0" collapsed="false">
      <c r="A18" s="22" t="s">
        <v>133</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14" t="s">
        <v>143</v>
      </c>
      <c r="B4" s="8" t="n">
        <v>0</v>
      </c>
      <c r="C4" s="8" t="n">
        <v>150</v>
      </c>
      <c r="D4" s="8" t="n">
        <v>450</v>
      </c>
      <c r="E4" s="8" t="n">
        <v>1200</v>
      </c>
      <c r="F4" s="8" t="n">
        <v>2400</v>
      </c>
      <c r="G4" s="8" t="n">
        <v>4200</v>
      </c>
      <c r="H4" s="8" t="n">
        <v>6800</v>
      </c>
    </row>
    <row r="5" customFormat="false" ht="15" hidden="false" customHeight="true" outlineLevel="0" collapsed="false">
      <c r="A5" s="14" t="s">
        <v>144</v>
      </c>
      <c r="B5" s="8" t="n">
        <v>0</v>
      </c>
      <c r="C5" s="8" t="n">
        <v>50</v>
      </c>
      <c r="D5" s="8" t="n">
        <v>200</v>
      </c>
      <c r="E5" s="8" t="n">
        <v>500</v>
      </c>
      <c r="F5" s="8" t="n">
        <v>900</v>
      </c>
      <c r="G5" s="8" t="n">
        <v>1500</v>
      </c>
      <c r="H5" s="8" t="n">
        <v>2400</v>
      </c>
    </row>
    <row r="6" customFormat="false" ht="15" hidden="false" customHeight="true" outlineLevel="0" collapsed="false">
      <c r="A6" s="14" t="s">
        <v>145</v>
      </c>
      <c r="B6" s="8" t="n">
        <v>0</v>
      </c>
      <c r="C6" s="8" t="n">
        <v>0</v>
      </c>
      <c r="D6" s="8" t="n">
        <v>100</v>
      </c>
      <c r="E6" s="8" t="n">
        <v>400</v>
      </c>
      <c r="F6" s="8" t="n">
        <v>900</v>
      </c>
      <c r="G6" s="8" t="n">
        <v>1800</v>
      </c>
      <c r="H6" s="8" t="n">
        <v>3200</v>
      </c>
    </row>
    <row r="7" customFormat="false" ht="15" hidden="false" customHeight="true" outlineLevel="0" collapsed="false">
      <c r="A7" s="14" t="s">
        <v>146</v>
      </c>
      <c r="B7" s="8" t="n">
        <v>50</v>
      </c>
      <c r="C7" s="8" t="n">
        <v>150</v>
      </c>
      <c r="D7" s="8" t="n">
        <v>300</v>
      </c>
      <c r="E7" s="8" t="n">
        <v>500</v>
      </c>
      <c r="F7" s="8" t="n">
        <v>700</v>
      </c>
      <c r="G7" s="8" t="n">
        <v>900</v>
      </c>
      <c r="H7" s="8" t="n">
        <v>1100</v>
      </c>
    </row>
    <row r="8" customFormat="false" ht="15" hidden="false" customHeight="true" outlineLevel="0" collapsed="false">
      <c r="A8" s="14" t="s">
        <v>147</v>
      </c>
      <c r="B8" s="8" t="n">
        <v>0</v>
      </c>
      <c r="C8" s="8" t="n">
        <v>30</v>
      </c>
      <c r="D8" s="8" t="n">
        <v>90</v>
      </c>
      <c r="E8" s="8" t="n">
        <v>200</v>
      </c>
      <c r="F8" s="8" t="n">
        <v>400</v>
      </c>
      <c r="G8" s="8" t="n">
        <v>650</v>
      </c>
      <c r="H8" s="8" t="n">
        <v>950</v>
      </c>
    </row>
    <row r="9" customFormat="false" ht="15" hidden="false" customHeight="true" outlineLevel="0" collapsed="false">
      <c r="A9" s="3" t="s">
        <v>148</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149</v>
      </c>
    </row>
    <row r="12" customFormat="false" ht="15" hidden="false" customHeight="true" outlineLevel="0" collapsed="false">
      <c r="A12" s="14" t="s">
        <v>150</v>
      </c>
      <c r="B12" s="8" t="n">
        <v>30</v>
      </c>
      <c r="C12" s="8" t="n">
        <v>55</v>
      </c>
      <c r="D12" s="8" t="n">
        <v>95</v>
      </c>
      <c r="E12" s="8" t="n">
        <v>160</v>
      </c>
      <c r="F12" s="8" t="n">
        <v>280</v>
      </c>
      <c r="G12" s="8" t="n">
        <v>450</v>
      </c>
      <c r="H12" s="8" t="n">
        <v>680</v>
      </c>
    </row>
    <row r="13" customFormat="false" ht="15" hidden="false" customHeight="true" outlineLevel="0" collapsed="false">
      <c r="A13" s="14" t="s">
        <v>151</v>
      </c>
      <c r="B13" s="8" t="n">
        <v>20</v>
      </c>
      <c r="C13" s="8" t="n">
        <v>30</v>
      </c>
      <c r="D13" s="8" t="n">
        <v>40</v>
      </c>
      <c r="E13" s="8" t="n">
        <v>55</v>
      </c>
      <c r="F13" s="8" t="n">
        <v>75</v>
      </c>
      <c r="G13" s="8" t="n">
        <v>100</v>
      </c>
      <c r="H13" s="8" t="n">
        <v>140</v>
      </c>
    </row>
    <row r="14" customFormat="false" ht="15" hidden="false" customHeight="true" outlineLevel="0" collapsed="false">
      <c r="A14" s="14" t="s">
        <v>152</v>
      </c>
      <c r="B14" s="8" t="n">
        <v>10</v>
      </c>
      <c r="C14" s="8" t="n">
        <v>18</v>
      </c>
      <c r="D14" s="8" t="n">
        <v>50</v>
      </c>
      <c r="E14" s="8" t="n">
        <v>130</v>
      </c>
      <c r="F14" s="8" t="n">
        <v>270</v>
      </c>
      <c r="G14" s="8" t="n">
        <v>460</v>
      </c>
      <c r="H14" s="8" t="n">
        <v>720</v>
      </c>
    </row>
    <row r="15" customFormat="false" ht="15" hidden="false" customHeight="true" outlineLevel="0" collapsed="false">
      <c r="A15" s="3" t="s">
        <v>153</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154</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155</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156</v>
      </c>
    </row>
    <row r="21" customFormat="false" ht="15" hidden="false" customHeight="true" outlineLevel="0" collapsed="false">
      <c r="A21" s="14" t="s">
        <v>157</v>
      </c>
      <c r="B21" s="8" t="n">
        <v>110</v>
      </c>
      <c r="C21" s="8" t="n">
        <v>230</v>
      </c>
      <c r="D21" s="8" t="n">
        <v>350</v>
      </c>
      <c r="E21" s="8" t="n">
        <v>580</v>
      </c>
      <c r="F21" s="8" t="n">
        <v>860</v>
      </c>
      <c r="G21" s="8" t="n">
        <v>1160</v>
      </c>
      <c r="H21" s="8" t="n">
        <v>1460</v>
      </c>
    </row>
    <row r="22" customFormat="false" ht="15" hidden="false" customHeight="true" outlineLevel="0" collapsed="false">
      <c r="A22" s="14" t="s">
        <v>158</v>
      </c>
      <c r="B22" s="8" t="n">
        <v>40</v>
      </c>
      <c r="C22" s="8" t="n">
        <v>60</v>
      </c>
      <c r="D22" s="8" t="n">
        <v>110</v>
      </c>
      <c r="E22" s="8" t="n">
        <v>220</v>
      </c>
      <c r="F22" s="8" t="n">
        <v>360</v>
      </c>
      <c r="G22" s="8" t="n">
        <v>520</v>
      </c>
      <c r="H22" s="8" t="n">
        <v>700</v>
      </c>
    </row>
    <row r="23" customFormat="false" ht="15" hidden="false" customHeight="true" outlineLevel="0" collapsed="false">
      <c r="A23" s="14" t="s">
        <v>159</v>
      </c>
      <c r="B23" s="8" t="n">
        <v>110</v>
      </c>
      <c r="C23" s="8" t="n">
        <v>160</v>
      </c>
      <c r="D23" s="8" t="n">
        <v>210</v>
      </c>
      <c r="E23" s="8" t="n">
        <v>270</v>
      </c>
      <c r="F23" s="8" t="n">
        <v>330</v>
      </c>
      <c r="G23" s="8" t="n">
        <v>390</v>
      </c>
      <c r="H23" s="8" t="n">
        <v>450</v>
      </c>
    </row>
    <row r="24" customFormat="false" ht="15" hidden="false" customHeight="true" outlineLevel="0" collapsed="false">
      <c r="A24" s="14" t="s">
        <v>160</v>
      </c>
      <c r="B24" s="8" t="n">
        <v>15</v>
      </c>
      <c r="C24" s="8" t="n">
        <v>35</v>
      </c>
      <c r="D24" s="8" t="n">
        <v>70</v>
      </c>
      <c r="E24" s="8" t="n">
        <v>130</v>
      </c>
      <c r="F24" s="8" t="n">
        <v>220</v>
      </c>
      <c r="G24" s="8" t="n">
        <v>340</v>
      </c>
      <c r="H24" s="8" t="n">
        <v>490</v>
      </c>
    </row>
    <row r="25" customFormat="false" ht="15" hidden="false" customHeight="true" outlineLevel="0" collapsed="false">
      <c r="A25" s="14" t="s">
        <v>161</v>
      </c>
      <c r="B25" s="8" t="n">
        <v>10</v>
      </c>
      <c r="C25" s="8" t="n">
        <v>18</v>
      </c>
      <c r="D25" s="8" t="n">
        <v>35</v>
      </c>
      <c r="E25" s="8" t="n">
        <v>60</v>
      </c>
      <c r="F25" s="8" t="n">
        <v>90</v>
      </c>
      <c r="G25" s="8" t="n">
        <v>120</v>
      </c>
      <c r="H25" s="8" t="n">
        <v>160</v>
      </c>
    </row>
    <row r="26" customFormat="false" ht="15" hidden="false" customHeight="true" outlineLevel="0" collapsed="false">
      <c r="A26" s="14" t="s">
        <v>162</v>
      </c>
      <c r="B26" s="8" t="n">
        <v>20</v>
      </c>
      <c r="C26" s="8" t="n">
        <v>35</v>
      </c>
      <c r="D26" s="8" t="n">
        <v>55</v>
      </c>
      <c r="E26" s="8" t="n">
        <v>75</v>
      </c>
      <c r="F26" s="8" t="n">
        <v>100</v>
      </c>
      <c r="G26" s="8" t="n">
        <v>130</v>
      </c>
      <c r="H26" s="8" t="n">
        <v>160</v>
      </c>
    </row>
    <row r="27" customFormat="false" ht="15" hidden="false" customHeight="true" outlineLevel="0" collapsed="false">
      <c r="A27" s="14" t="s">
        <v>163</v>
      </c>
      <c r="B27" s="8" t="n">
        <v>10</v>
      </c>
      <c r="C27" s="8" t="n">
        <v>18</v>
      </c>
      <c r="D27" s="8" t="n">
        <v>28</v>
      </c>
      <c r="E27" s="8" t="n">
        <v>42</v>
      </c>
      <c r="F27" s="8" t="n">
        <v>58</v>
      </c>
      <c r="G27" s="8" t="n">
        <v>72</v>
      </c>
      <c r="H27" s="8" t="n">
        <v>88</v>
      </c>
    </row>
    <row r="28" customFormat="false" ht="15" hidden="false" customHeight="true" outlineLevel="0" collapsed="false">
      <c r="A28" s="14" t="s">
        <v>164</v>
      </c>
      <c r="B28" s="8" t="n">
        <v>15</v>
      </c>
      <c r="C28" s="8" t="n">
        <v>28</v>
      </c>
      <c r="D28" s="8" t="n">
        <v>45</v>
      </c>
      <c r="E28" s="8" t="n">
        <v>75</v>
      </c>
      <c r="F28" s="8" t="n">
        <v>110</v>
      </c>
      <c r="G28" s="8" t="n">
        <v>150</v>
      </c>
      <c r="H28" s="8" t="n">
        <v>190</v>
      </c>
    </row>
    <row r="29" customFormat="false" ht="15" hidden="false" customHeight="true" outlineLevel="0" collapsed="false">
      <c r="A29" s="3" t="s">
        <v>165</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166</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167</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168</v>
      </c>
      <c r="B34" s="8" t="n">
        <v>10</v>
      </c>
      <c r="C34" s="8" t="n">
        <v>30</v>
      </c>
      <c r="D34" s="8" t="n">
        <v>60</v>
      </c>
      <c r="E34" s="8" t="n">
        <v>90</v>
      </c>
      <c r="F34" s="8" t="n">
        <v>120</v>
      </c>
      <c r="G34" s="8" t="n">
        <v>150</v>
      </c>
      <c r="H34" s="8" t="n">
        <v>180</v>
      </c>
    </row>
    <row r="35" customFormat="false" ht="15" hidden="false" customHeight="true" outlineLevel="0" collapsed="false">
      <c r="A35" s="3" t="s">
        <v>169</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170</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171</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172</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173</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174</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175</v>
      </c>
    </row>
    <row r="5" customFormat="false" ht="15" hidden="false" customHeight="true" outlineLevel="0" collapsed="false">
      <c r="A5" s="34" t="s">
        <v>176</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177</v>
      </c>
      <c r="B6" s="8" t="n">
        <v>-10</v>
      </c>
      <c r="C6" s="8" t="n">
        <v>-25</v>
      </c>
      <c r="D6" s="8" t="n">
        <v>-50</v>
      </c>
      <c r="E6" s="8" t="n">
        <v>-85</v>
      </c>
      <c r="F6" s="8" t="n">
        <v>-140</v>
      </c>
      <c r="G6" s="8" t="n">
        <v>-200</v>
      </c>
      <c r="H6" s="8" t="n">
        <v>-270</v>
      </c>
    </row>
    <row r="7" customFormat="false" ht="15" hidden="false" customHeight="true" outlineLevel="0" collapsed="false">
      <c r="A7" s="34" t="s">
        <v>178</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179</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180</v>
      </c>
    </row>
    <row r="11" customFormat="false" ht="15" hidden="false" customHeight="true" outlineLevel="0" collapsed="false">
      <c r="A11" s="34" t="s">
        <v>181</v>
      </c>
      <c r="B11" s="8" t="n">
        <v>-60</v>
      </c>
      <c r="C11" s="8" t="n">
        <v>-50</v>
      </c>
      <c r="D11" s="8" t="n">
        <v>-45</v>
      </c>
      <c r="E11" s="8" t="n">
        <v>-65</v>
      </c>
      <c r="F11" s="8" t="n">
        <v>-85</v>
      </c>
      <c r="G11" s="8" t="n">
        <v>-110</v>
      </c>
      <c r="H11" s="8" t="n">
        <v>-150</v>
      </c>
    </row>
    <row r="12" customFormat="false" ht="15" hidden="false" customHeight="true" outlineLevel="0" collapsed="false">
      <c r="A12" s="3" t="s">
        <v>182</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183</v>
      </c>
    </row>
    <row r="15" customFormat="false" ht="15" hidden="false" customHeight="true" outlineLevel="0" collapsed="false">
      <c r="A15" s="34" t="s">
        <v>184</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185</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186</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187</v>
      </c>
      <c r="B18" s="8" t="n">
        <v>0</v>
      </c>
      <c r="C18" s="8" t="n">
        <v>1000</v>
      </c>
      <c r="D18" s="8" t="n">
        <v>0</v>
      </c>
      <c r="E18" s="8" t="n">
        <v>0</v>
      </c>
      <c r="F18" s="8" t="n">
        <v>0</v>
      </c>
      <c r="G18" s="8" t="n">
        <v>0</v>
      </c>
      <c r="H18" s="8" t="n">
        <v>0</v>
      </c>
    </row>
    <row r="19" customFormat="false" ht="15" hidden="false" customHeight="true" outlineLevel="0" collapsed="false">
      <c r="A19" s="3" t="s">
        <v>188</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189</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190</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191</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192</v>
      </c>
      <c r="B1" s="2"/>
      <c r="C1" s="2"/>
      <c r="D1" s="2"/>
      <c r="E1" s="2"/>
      <c r="F1" s="2"/>
      <c r="G1" s="2"/>
      <c r="H1" s="2"/>
      <c r="I1" s="2"/>
    </row>
    <row r="3" customFormat="false" ht="15" hidden="false" customHeight="true" outlineLevel="0" collapsed="false">
      <c r="A3" s="13" t="s">
        <v>135</v>
      </c>
      <c r="B3" s="23" t="s">
        <v>136</v>
      </c>
      <c r="C3" s="23" t="s">
        <v>137</v>
      </c>
      <c r="D3" s="23" t="s">
        <v>138</v>
      </c>
      <c r="E3" s="23" t="s">
        <v>139</v>
      </c>
      <c r="F3" s="23" t="s">
        <v>140</v>
      </c>
      <c r="G3" s="23" t="s">
        <v>141</v>
      </c>
      <c r="H3" s="23" t="s">
        <v>142</v>
      </c>
    </row>
    <row r="4" customFormat="false" ht="15" hidden="false" customHeight="true" outlineLevel="0" collapsed="false">
      <c r="A4" s="30" t="s">
        <v>193</v>
      </c>
    </row>
    <row r="5" customFormat="false" ht="15" hidden="false" customHeight="true" outlineLevel="0" collapsed="false">
      <c r="A5" s="34" t="s">
        <v>194</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195</v>
      </c>
      <c r="B6" s="8" t="n">
        <v>10</v>
      </c>
      <c r="C6" s="8" t="n">
        <v>40</v>
      </c>
      <c r="D6" s="8" t="n">
        <v>100</v>
      </c>
      <c r="E6" s="8" t="n">
        <v>200</v>
      </c>
      <c r="F6" s="8" t="n">
        <v>360</v>
      </c>
      <c r="G6" s="8" t="n">
        <v>580</v>
      </c>
      <c r="H6" s="8" t="n">
        <v>880</v>
      </c>
    </row>
    <row r="7" customFormat="false" ht="15" hidden="false" customHeight="true" outlineLevel="0" collapsed="false">
      <c r="A7" s="34" t="s">
        <v>196</v>
      </c>
      <c r="B7" s="8" t="n">
        <v>20</v>
      </c>
      <c r="C7" s="8" t="n">
        <v>25</v>
      </c>
      <c r="D7" s="8" t="n">
        <v>35</v>
      </c>
      <c r="E7" s="8" t="n">
        <v>50</v>
      </c>
      <c r="F7" s="8" t="n">
        <v>70</v>
      </c>
      <c r="G7" s="8" t="n">
        <v>90</v>
      </c>
      <c r="H7" s="8" t="n">
        <v>110</v>
      </c>
    </row>
    <row r="8" customFormat="false" ht="15" hidden="false" customHeight="true" outlineLevel="0" collapsed="false">
      <c r="A8" s="38" t="s">
        <v>197</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198</v>
      </c>
      <c r="B9" s="8" t="n">
        <v>80</v>
      </c>
      <c r="C9" s="8" t="n">
        <v>130</v>
      </c>
      <c r="D9" s="8" t="n">
        <v>180</v>
      </c>
      <c r="E9" s="8" t="n">
        <v>250</v>
      </c>
      <c r="F9" s="8" t="n">
        <v>340</v>
      </c>
      <c r="G9" s="8" t="n">
        <v>460</v>
      </c>
      <c r="H9" s="8" t="n">
        <v>620</v>
      </c>
    </row>
    <row r="10" customFormat="false" ht="15" hidden="false" customHeight="true" outlineLevel="0" collapsed="false">
      <c r="A10" s="34" t="s">
        <v>199</v>
      </c>
      <c r="B10" s="8" t="n">
        <v>50</v>
      </c>
      <c r="C10" s="8" t="n">
        <v>130</v>
      </c>
      <c r="D10" s="8" t="n">
        <v>220</v>
      </c>
      <c r="E10" s="8" t="n">
        <v>320</v>
      </c>
      <c r="F10" s="8" t="n">
        <v>430</v>
      </c>
      <c r="G10" s="8" t="n">
        <v>550</v>
      </c>
      <c r="H10" s="8" t="n">
        <v>680</v>
      </c>
    </row>
    <row r="11" customFormat="false" ht="15" hidden="false" customHeight="true" outlineLevel="0" collapsed="false">
      <c r="A11" s="38" t="s">
        <v>200</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201</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202</v>
      </c>
    </row>
    <row r="15" customFormat="false" ht="15" hidden="false" customHeight="true" outlineLevel="0" collapsed="false">
      <c r="A15" s="34" t="s">
        <v>203</v>
      </c>
      <c r="B15" s="8" t="n">
        <v>12</v>
      </c>
      <c r="C15" s="8" t="n">
        <v>22</v>
      </c>
      <c r="D15" s="8" t="n">
        <v>38</v>
      </c>
      <c r="E15" s="8" t="n">
        <v>60</v>
      </c>
      <c r="F15" s="8" t="n">
        <v>95</v>
      </c>
      <c r="G15" s="8" t="n">
        <v>140</v>
      </c>
      <c r="H15" s="8" t="n">
        <v>200</v>
      </c>
    </row>
    <row r="16" customFormat="false" ht="15" hidden="false" customHeight="true" outlineLevel="0" collapsed="false">
      <c r="A16" s="34" t="s">
        <v>204</v>
      </c>
      <c r="B16" s="8" t="n">
        <v>8</v>
      </c>
      <c r="C16" s="8" t="n">
        <v>18</v>
      </c>
      <c r="D16" s="8" t="n">
        <v>30</v>
      </c>
      <c r="E16" s="8" t="n">
        <v>50</v>
      </c>
      <c r="F16" s="8" t="n">
        <v>75</v>
      </c>
      <c r="G16" s="8" t="n">
        <v>110</v>
      </c>
      <c r="H16" s="8" t="n">
        <v>160</v>
      </c>
    </row>
    <row r="17" customFormat="false" ht="15" hidden="false" customHeight="true" outlineLevel="0" collapsed="false">
      <c r="A17" s="34" t="s">
        <v>205</v>
      </c>
      <c r="B17" s="8" t="n">
        <v>0</v>
      </c>
      <c r="C17" s="8" t="n">
        <v>150</v>
      </c>
      <c r="D17" s="8" t="n">
        <v>150</v>
      </c>
      <c r="E17" s="8" t="n">
        <v>150</v>
      </c>
      <c r="F17" s="8" t="n">
        <v>150</v>
      </c>
      <c r="G17" s="8" t="n">
        <v>150</v>
      </c>
      <c r="H17" s="8" t="n">
        <v>0</v>
      </c>
    </row>
    <row r="18" customFormat="false" ht="15" hidden="false" customHeight="true" outlineLevel="0" collapsed="false">
      <c r="A18" s="39" t="s">
        <v>206</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207</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208</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209</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210</v>
      </c>
    </row>
    <row r="24" customFormat="false" ht="15" hidden="false" customHeight="true" outlineLevel="0" collapsed="false">
      <c r="A24" s="34" t="s">
        <v>211</v>
      </c>
      <c r="B24" s="8" t="n">
        <v>200</v>
      </c>
      <c r="C24" s="8" t="n">
        <v>1200</v>
      </c>
      <c r="D24" s="8" t="n">
        <v>1200</v>
      </c>
      <c r="E24" s="8" t="n">
        <v>1200</v>
      </c>
      <c r="F24" s="8" t="n">
        <v>1200</v>
      </c>
      <c r="G24" s="8" t="n">
        <v>1200</v>
      </c>
      <c r="H24" s="8" t="n">
        <v>1200</v>
      </c>
    </row>
    <row r="25" customFormat="false" ht="15" hidden="false" customHeight="true" outlineLevel="0" collapsed="false">
      <c r="A25" s="34" t="s">
        <v>212</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213</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214</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215</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216</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217</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218</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12"/>
    <col collapsed="false" customWidth="true" hidden="false" outlineLevel="0" max="4" min="4" style="1" width="50"/>
  </cols>
  <sheetData>
    <row r="1" customFormat="false" ht="21.75" hidden="false" customHeight="true" outlineLevel="0" collapsed="false">
      <c r="A1" s="5" t="s">
        <v>219</v>
      </c>
      <c r="B1" s="5"/>
      <c r="C1" s="5"/>
      <c r="D1" s="5"/>
      <c r="E1" s="5"/>
      <c r="F1" s="5"/>
    </row>
    <row r="3" customFormat="false" ht="15" hidden="false" customHeight="true" outlineLevel="0" collapsed="false">
      <c r="A3" s="19" t="s">
        <v>220</v>
      </c>
      <c r="B3" s="43" t="s">
        <v>221</v>
      </c>
      <c r="C3" s="43" t="s">
        <v>222</v>
      </c>
      <c r="D3" s="19" t="s">
        <v>223</v>
      </c>
    </row>
    <row r="4" customFormat="false" ht="15" hidden="false" customHeight="true" outlineLevel="0" collapsed="false">
      <c r="A4" s="14" t="s">
        <v>224</v>
      </c>
      <c r="B4" s="6" t="n">
        <v>672567</v>
      </c>
      <c r="C4" s="44" t="n">
        <f aca="false">B4/$B$12</f>
        <v>0.763788558962578</v>
      </c>
      <c r="D4" s="7" t="s">
        <v>225</v>
      </c>
    </row>
    <row r="5" customFormat="false" ht="15" hidden="false" customHeight="true" outlineLevel="0" collapsed="false">
      <c r="A5" s="14" t="s">
        <v>226</v>
      </c>
      <c r="B5" s="6" t="n">
        <v>50000</v>
      </c>
      <c r="C5" s="44" t="n">
        <f aca="false">B5/$B$12</f>
        <v>0.0567815964032266</v>
      </c>
      <c r="D5" s="7" t="s">
        <v>227</v>
      </c>
    </row>
    <row r="6" customFormat="false" ht="15" hidden="false" customHeight="true" outlineLevel="0" collapsed="false">
      <c r="A6" s="14" t="s">
        <v>63</v>
      </c>
      <c r="B6" s="6" t="n">
        <v>35000</v>
      </c>
      <c r="C6" s="44" t="n">
        <f aca="false">B6/$B$12</f>
        <v>0.0397471174822586</v>
      </c>
      <c r="D6" s="7" t="s">
        <v>228</v>
      </c>
    </row>
    <row r="7" customFormat="false" ht="15" hidden="false" customHeight="true" outlineLevel="0" collapsed="false">
      <c r="A7" s="14" t="s">
        <v>229</v>
      </c>
      <c r="B7" s="6" t="n">
        <v>25000</v>
      </c>
      <c r="C7" s="44" t="n">
        <f aca="false">B7/$B$12</f>
        <v>0.0283907982016133</v>
      </c>
      <c r="D7" s="7" t="s">
        <v>230</v>
      </c>
    </row>
    <row r="8" customFormat="false" ht="15" hidden="false" customHeight="true" outlineLevel="0" collapsed="false">
      <c r="A8" s="14" t="s">
        <v>231</v>
      </c>
      <c r="B8" s="6" t="n">
        <v>15000</v>
      </c>
      <c r="C8" s="44" t="n">
        <f aca="false">B8/$B$12</f>
        <v>0.017034478920968</v>
      </c>
      <c r="D8" s="7" t="s">
        <v>232</v>
      </c>
    </row>
    <row r="9" customFormat="false" ht="15" hidden="false" customHeight="true" outlineLevel="0" collapsed="false">
      <c r="A9" s="14" t="s">
        <v>66</v>
      </c>
      <c r="B9" s="6" t="n">
        <v>10000</v>
      </c>
      <c r="C9" s="44" t="n">
        <f aca="false">B9/$B$12</f>
        <v>0.0113563192806453</v>
      </c>
      <c r="D9" s="7" t="s">
        <v>233</v>
      </c>
    </row>
    <row r="10" customFormat="false" ht="15" hidden="false" customHeight="true" outlineLevel="0" collapsed="false">
      <c r="A10" s="14" t="s">
        <v>67</v>
      </c>
      <c r="B10" s="6" t="n">
        <v>8000</v>
      </c>
      <c r="C10" s="44" t="n">
        <f aca="false">B10/$B$12</f>
        <v>0.00908505542451625</v>
      </c>
      <c r="D10" s="7" t="s">
        <v>234</v>
      </c>
    </row>
    <row r="11" customFormat="false" ht="15" hidden="false" customHeight="true" outlineLevel="0" collapsed="false">
      <c r="A11" s="14" t="s">
        <v>235</v>
      </c>
      <c r="B11" s="6" t="n">
        <v>65000</v>
      </c>
      <c r="C11" s="44" t="n">
        <f aca="false">B11/$B$12</f>
        <v>0.0738160753241945</v>
      </c>
      <c r="D11" s="7" t="s">
        <v>236</v>
      </c>
    </row>
    <row r="12" customFormat="false" ht="15" hidden="false" customHeight="true" outlineLevel="0" collapsed="false">
      <c r="A12" s="19" t="s">
        <v>237</v>
      </c>
      <c r="B12" s="20" t="n">
        <f aca="false">SUM(B4:B11)</f>
        <v>880567</v>
      </c>
      <c r="C12" s="45" t="n">
        <f aca="false">SUM(C4:C11)</f>
        <v>1</v>
      </c>
      <c r="D12" s="7"/>
    </row>
    <row r="13" customFormat="false" ht="15" hidden="false" customHeight="true" outlineLevel="0" collapsed="false">
      <c r="A13" s="46"/>
      <c r="B13" s="47"/>
      <c r="C13" s="48"/>
    </row>
    <row r="14" customFormat="false" ht="15" hidden="false" customHeight="true" outlineLevel="0" collapsed="false">
      <c r="A14" s="49" t="s">
        <v>238</v>
      </c>
      <c r="B14" s="6" t="n">
        <v>700000</v>
      </c>
      <c r="C14" s="44" t="n">
        <f aca="false">B14/B12</f>
        <v>0.794942349645172</v>
      </c>
      <c r="D14" s="7" t="s">
        <v>239</v>
      </c>
    </row>
    <row r="15" customFormat="false" ht="15" hidden="false" customHeight="true" outlineLevel="0" collapsed="false">
      <c r="A15" s="49" t="s">
        <v>240</v>
      </c>
      <c r="B15" s="6" t="n">
        <v>190000</v>
      </c>
      <c r="D15" s="7" t="s">
        <v>241</v>
      </c>
    </row>
    <row r="16" customFormat="false" ht="15" hidden="false" customHeight="true" outlineLevel="0" collapsed="false">
      <c r="A16" s="19" t="s">
        <v>242</v>
      </c>
      <c r="B16" s="20" t="n">
        <f aca="false">B14+B15</f>
        <v>890000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243</v>
      </c>
      <c r="B1" s="2"/>
      <c r="C1" s="2"/>
      <c r="D1" s="2"/>
      <c r="E1" s="2"/>
      <c r="F1" s="2"/>
      <c r="G1" s="2"/>
      <c r="H1" s="2"/>
      <c r="I1" s="2"/>
    </row>
    <row r="3" customFormat="false" ht="15" hidden="false" customHeight="true" outlineLevel="0" collapsed="false">
      <c r="A3" s="13" t="s">
        <v>244</v>
      </c>
      <c r="B3" s="23" t="s">
        <v>136</v>
      </c>
      <c r="C3" s="23" t="s">
        <v>137</v>
      </c>
      <c r="D3" s="23" t="s">
        <v>138</v>
      </c>
      <c r="E3" s="23" t="s">
        <v>139</v>
      </c>
      <c r="F3" s="23" t="s">
        <v>140</v>
      </c>
      <c r="G3" s="23" t="s">
        <v>141</v>
      </c>
      <c r="H3" s="23" t="s">
        <v>142</v>
      </c>
    </row>
    <row r="4" customFormat="false" ht="15" hidden="false" customHeight="true" outlineLevel="0" collapsed="false">
      <c r="A4" s="34" t="s">
        <v>245</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246</v>
      </c>
      <c r="B5" s="50" t="s">
        <v>247</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155</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167</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248</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51" t="s">
        <v>249</v>
      </c>
      <c r="B9" s="52" t="n">
        <f aca="false">'6_Balance_Sheet'!B32</f>
        <v>7</v>
      </c>
      <c r="C9" s="52" t="n">
        <f aca="false">'6_Balance_Sheet'!C32</f>
        <v>5.12105263157895</v>
      </c>
      <c r="D9" s="52" t="n">
        <f aca="false">'6_Balance_Sheet'!D32</f>
        <v>3.68084067073394</v>
      </c>
      <c r="E9" s="52" t="n">
        <f aca="false">'6_Balance_Sheet'!E32</f>
        <v>5.25361764750769</v>
      </c>
      <c r="F9" s="52" t="n">
        <f aca="false">'6_Balance_Sheet'!F32</f>
        <v>9.66550603578438</v>
      </c>
      <c r="G9" s="52" t="n">
        <f aca="false">'6_Balance_Sheet'!G32</f>
        <v>16.9218432387925</v>
      </c>
      <c r="H9" s="52" t="n">
        <f aca="false">'6_Balance_Sheet'!H32</f>
        <v>37.4181018904167</v>
      </c>
    </row>
    <row r="10" customFormat="false" ht="15" hidden="false" customHeight="true" outlineLevel="0" collapsed="false">
      <c r="A10" s="34" t="s">
        <v>250</v>
      </c>
      <c r="B10" s="53" t="n">
        <f aca="false">IFERROR('4_PnL_Forecast'!B31/MAX(1,('3_Interest_Repayment'!G4+'3_Interest_Repayment'!H4)/1000),0)</f>
        <v>-340</v>
      </c>
      <c r="C10" s="53" t="n">
        <f aca="false">IFERROR('4_PnL_Forecast'!C31/MAX(1,('3_Interest_Repayment'!G5+'3_Interest_Repayment'!H5)/1000),0)</f>
        <v>-307</v>
      </c>
      <c r="D10" s="53" t="n">
        <f aca="false">IFERROR('4_PnL_Forecast'!D31/MAX(1,('3_Interest_Repayment'!G6+'3_Interest_Repayment'!H6)/1000),0)</f>
        <v>0.263188883656218</v>
      </c>
      <c r="E10" s="53" t="n">
        <f aca="false">IFERROR('4_PnL_Forecast'!E31/MAX(1,('3_Interest_Repayment'!G7+'3_Interest_Repayment'!H7)/1000),0)</f>
        <v>5.36637103693088</v>
      </c>
      <c r="F10" s="53" t="n">
        <f aca="false">IFERROR('4_PnL_Forecast'!F31/MAX(1,('3_Interest_Repayment'!G8+'3_Interest_Repayment'!H8)/1000),0)</f>
        <v>14.4524842430626</v>
      </c>
      <c r="G10" s="53" t="n">
        <f aca="false">IFERROR('4_PnL_Forecast'!G31/MAX(1,('3_Interest_Repayment'!G9+'3_Interest_Repayment'!H9)/1000),0)</f>
        <v>31.1547460265565</v>
      </c>
      <c r="H10" s="53" t="n">
        <f aca="false">IFERROR('4_PnL_Forecast'!H31/MAX(1,('3_Interest_Repayment'!G10+'3_Interest_Repayment'!H10)/1000),0)</f>
        <v>59.4749948941821</v>
      </c>
    </row>
    <row r="12" customFormat="false" ht="21.75" hidden="false" customHeight="true" outlineLevel="0" collapsed="false">
      <c r="A12" s="5" t="s">
        <v>251</v>
      </c>
      <c r="B12" s="5"/>
      <c r="C12" s="5"/>
      <c r="D12" s="5"/>
      <c r="E12" s="5"/>
      <c r="F12" s="5"/>
      <c r="G12" s="5"/>
      <c r="H12" s="5"/>
      <c r="I12" s="5"/>
    </row>
    <row r="13" customFormat="false" ht="15" hidden="false" customHeight="true" outlineLevel="0" collapsed="false">
      <c r="A13" s="34" t="s">
        <v>252</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253</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254</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255</v>
      </c>
      <c r="B16" s="54" t="n">
        <f aca="false">IFERROR(B15/MAX(1,('3_Interest_Repayment'!G4+'3_Interest_Repayment'!H4)/1000),0)</f>
        <v>-337</v>
      </c>
      <c r="C16" s="54" t="n">
        <f aca="false">IFERROR(C15/MAX(1,('3_Interest_Repayment'!G5+'3_Interest_Repayment'!H5)/1000),0)</f>
        <v>-390.1</v>
      </c>
      <c r="D16" s="54" t="n">
        <f aca="false">IFERROR(D15/MAX(1,('3_Interest_Repayment'!G6+'3_Interest_Repayment'!H6)/1000),0)</f>
        <v>-1.18688063879583</v>
      </c>
      <c r="E16" s="54" t="n">
        <f aca="false">IFERROR(E15/MAX(1,('3_Interest_Repayment'!G7+'3_Interest_Repayment'!H7)/1000),0)</f>
        <v>1.42586030044076</v>
      </c>
      <c r="F16" s="54" t="n">
        <f aca="false">IFERROR(F15/MAX(1,('3_Interest_Repayment'!G8+'3_Interest_Repayment'!H8)/1000),0)</f>
        <v>6.49425528707702</v>
      </c>
      <c r="G16" s="54" t="n">
        <f aca="false">IFERROR(G15/MAX(1,('3_Interest_Repayment'!G9+'3_Interest_Repayment'!H9)/1000),0)</f>
        <v>16.5860668066933</v>
      </c>
      <c r="H16" s="54" t="n">
        <f aca="false">IFERROR(H15/MAX(1,('3_Interest_Repayment'!G10+'3_Interest_Repayment'!H10)/1000),0)</f>
        <v>34.4699302800736</v>
      </c>
    </row>
    <row r="18" customFormat="false" ht="21.75" hidden="false" customHeight="true" outlineLevel="0" collapsed="false">
      <c r="A18" s="5" t="s">
        <v>256</v>
      </c>
      <c r="B18" s="5"/>
      <c r="C18" s="5"/>
      <c r="D18" s="5"/>
      <c r="E18" s="5"/>
      <c r="F18" s="5"/>
      <c r="G18" s="5"/>
      <c r="H18" s="5"/>
      <c r="I18" s="5"/>
    </row>
    <row r="19" customFormat="false" ht="15" hidden="false" customHeight="true" outlineLevel="0" collapsed="false">
      <c r="A19" s="34" t="s">
        <v>257</v>
      </c>
      <c r="B19" s="55" t="n">
        <f aca="false">'1_Cover_Assumptions'!B51</f>
        <v>0.794942650565924</v>
      </c>
      <c r="D19" s="11" t="s">
        <v>258</v>
      </c>
    </row>
    <row r="20" customFormat="false" ht="15" hidden="false" customHeight="true" outlineLevel="0" collapsed="false">
      <c r="A20" s="34" t="s">
        <v>259</v>
      </c>
      <c r="B20" s="52" t="n">
        <f aca="false">MIN('6_Balance_Sheet'!B32:H32)</f>
        <v>3.68084067073394</v>
      </c>
      <c r="D20" s="11" t="s">
        <v>260</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2026-05-09T20:45:07Z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