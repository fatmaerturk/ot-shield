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<sst xmlns="http://schemas.openxmlformats.org/spreadsheetml/2006/main" count="288" uniqueCount="257">
  <si>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</si>
  <si>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</si>
  <si>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</si>
  <si>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</si>
  <si>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</si>
  <si>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</si>
  <si>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</si>
  <si>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</si>
  <si>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</si>
  <si>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</si>
  <si>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</si>
  <si>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</si>
  <si>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</si>
  <si>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</si>
  <si>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</si>
  <si>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</si>
  <si>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</si>
  <si>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</si>
  <si>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</si>
  <si>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</si>
  <si>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</si>
  <si>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</si>
  <si>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</si>
  <si>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</si>
  <si>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</si>
  <si>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</si>
  <si>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</si>
  <si>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</si>
  <si>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</si>
  <si>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</si>
  <si>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</si>
  <si>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</si>
  <si>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</si>
  <si>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</si>
  <si>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</si>
  <si>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</si>
  <si>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</si>
  <si>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</si>
  <si>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</si>
  <si>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</si>
  <si>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</si>
  <si>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</si>
  <si>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</si>
  <si>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</si>
  <si>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</si>
  <si>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</si>
  <si>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</si>
  <si>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</si>
  <si>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</si>
  <si>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</si>
  <si>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</si>
  <si>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</si>
  <si>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</si>
  <si>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</si>
  <si>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</si>
  <si>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</si>
  <si>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day/week)</t>
  </si>
  <si>
    <t xml:space="preserve">(£800/day × 5 days × 52 wks = £208k FT-eq)</t>
  </si>
  <si>
    <t xml:space="preserve">Jon — Senior Cyber Security Expert and AI Verifier (0.5 FTE part-time)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</si>
  <si>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</si>
  <si>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</si>
  <si>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</si>
  <si>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</si>
  <si>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</si>
  <si>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</si>
  <si>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</si>
  <si>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</si>
  <si>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</si>
  <si>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</si>
  <si>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</si>
  <si>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</si>
  <si>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</si>
  <si>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</si>
  <si>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founder director's loan (Fatma Erturk, repayable from operating cashflow)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</si>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</sst>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6" t="n">
        <v>208000</v>
      </c>
      <c r="C32" s="15" t="n">
        <v>0.2</v>
      </c>
      <c r="D32" s="16" t="n">
        <v>18</v>
      </c>
      <c r="E32" s="17" t="n">
        <f aca="false">B32*C32*D32/12</f>
        <v>62400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18" t="n">
        <f aca="false">SUM(E27:E33)</f>
        <v>690900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0" t="n">
        <f aca="false">E34+E45</f>
        <v>898900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0" t="n">
        <f aca="false">E47+E48</f>
        <v>1088900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1" t="n">
        <f aca="false">B11/E47</f>
        <v>0.778729558349093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15" hidden="false" customHeight="true" outlineLevel="0" collapsed="false"/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80</v>
      </c>
      <c r="B3" s="22" t="s">
        <v>81</v>
      </c>
      <c r="C3" s="22" t="s">
        <v>82</v>
      </c>
      <c r="D3" s="22" t="s">
        <v>83</v>
      </c>
      <c r="E3" s="22" t="s">
        <v>84</v>
      </c>
      <c r="F3" s="22" t="s">
        <v>85</v>
      </c>
    </row>
    <row r="4" customFormat="false" ht="15" hidden="false" customHeight="true" outlineLevel="0" collapsed="false">
      <c r="A4" s="23" t="n">
        <v>1</v>
      </c>
      <c r="B4" s="23" t="s">
        <v>86</v>
      </c>
      <c r="C4" s="24" t="s">
        <v>21</v>
      </c>
      <c r="D4" s="6" t="n">
        <v>140000</v>
      </c>
      <c r="E4" s="17" t="n">
        <f aca="false">D4</f>
        <v>140000</v>
      </c>
      <c r="F4" s="14" t="s">
        <v>87</v>
      </c>
    </row>
    <row r="5" customFormat="false" ht="15" hidden="false" customHeight="true" outlineLevel="0" collapsed="false">
      <c r="A5" s="23" t="n">
        <v>2</v>
      </c>
      <c r="B5" s="23" t="s">
        <v>88</v>
      </c>
      <c r="C5" s="24" t="s">
        <v>89</v>
      </c>
      <c r="D5" s="6" t="n">
        <v>140000</v>
      </c>
      <c r="E5" s="17" t="n">
        <f aca="false">E4+D5</f>
        <v>280000</v>
      </c>
      <c r="F5" s="14" t="s">
        <v>90</v>
      </c>
    </row>
    <row r="6" customFormat="false" ht="15" hidden="false" customHeight="true" outlineLevel="0" collapsed="false">
      <c r="A6" s="23" t="n">
        <v>3</v>
      </c>
      <c r="B6" s="23" t="s">
        <v>91</v>
      </c>
      <c r="C6" s="24" t="s">
        <v>92</v>
      </c>
      <c r="D6" s="6" t="n">
        <v>120000</v>
      </c>
      <c r="E6" s="17" t="n">
        <f aca="false">E5+D6</f>
        <v>400000</v>
      </c>
      <c r="F6" s="14" t="s">
        <v>93</v>
      </c>
    </row>
    <row r="7" customFormat="false" ht="15" hidden="false" customHeight="true" outlineLevel="0" collapsed="false">
      <c r="A7" s="23" t="n">
        <v>4</v>
      </c>
      <c r="B7" s="23" t="s">
        <v>94</v>
      </c>
      <c r="C7" s="24" t="s">
        <v>95</v>
      </c>
      <c r="D7" s="6" t="n">
        <v>120000</v>
      </c>
      <c r="E7" s="17" t="n">
        <f aca="false">E6+D7</f>
        <v>520000</v>
      </c>
      <c r="F7" s="14" t="s">
        <v>96</v>
      </c>
    </row>
    <row r="8" customFormat="false" ht="15" hidden="false" customHeight="true" outlineLevel="0" collapsed="false">
      <c r="A8" s="23" t="n">
        <v>5</v>
      </c>
      <c r="B8" s="23" t="s">
        <v>97</v>
      </c>
      <c r="C8" s="24" t="s">
        <v>98</v>
      </c>
      <c r="D8" s="6" t="n">
        <v>100000</v>
      </c>
      <c r="E8" s="17" t="n">
        <f aca="false">E7+D8</f>
        <v>620000</v>
      </c>
      <c r="F8" s="14" t="s">
        <v>99</v>
      </c>
    </row>
    <row r="9" customFormat="false" ht="15" hidden="false" customHeight="true" outlineLevel="0" collapsed="false">
      <c r="A9" s="23" t="n">
        <v>6</v>
      </c>
      <c r="B9" s="23" t="s">
        <v>100</v>
      </c>
      <c r="C9" s="24" t="s">
        <v>101</v>
      </c>
      <c r="D9" s="6" t="n">
        <v>80000</v>
      </c>
      <c r="E9" s="17" t="n">
        <f aca="false">E8+D9</f>
        <v>700000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6" t="n">
        <v>0</v>
      </c>
      <c r="D4" s="6" t="n">
        <v>520000</v>
      </c>
      <c r="E4" s="25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529620</v>
      </c>
      <c r="D5" s="6" t="n">
        <v>180000</v>
      </c>
      <c r="E5" s="26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721082.97</v>
      </c>
      <c r="D6" s="6" t="n">
        <v>0</v>
      </c>
      <c r="E6" s="25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576866.376</v>
      </c>
      <c r="D7" s="6" t="n">
        <v>0</v>
      </c>
      <c r="E7" s="25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432649.782</v>
      </c>
      <c r="D8" s="6" t="n">
        <v>0</v>
      </c>
      <c r="E8" s="25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288433.188</v>
      </c>
      <c r="D9" s="6" t="n">
        <v>0</v>
      </c>
      <c r="E9" s="25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144216.594</v>
      </c>
      <c r="D10" s="6" t="n">
        <v>0</v>
      </c>
      <c r="E10" s="25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128</v>
      </c>
      <c r="D11" s="27" t="n">
        <f aca="false">SUM(D4:D10)</f>
        <v>700000</v>
      </c>
      <c r="F11" s="27" t="n">
        <f aca="false">SUM(F4:F10)</f>
        <v>181163.38934</v>
      </c>
      <c r="G11" s="27" t="n">
        <f aca="false">SUM(G4:G10)</f>
        <v>721082.97</v>
      </c>
      <c r="H11" s="27" t="n">
        <f aca="false">SUM(H4:H10)</f>
        <v>160080.41934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8" t="s">
        <v>130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131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132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133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134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155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26" t="n">
        <f aca="false">IFERROR(B17/B9,0)</f>
        <v>-0.2</v>
      </c>
      <c r="C18" s="26" t="n">
        <f aca="false">IFERROR(C17/C9,0)</f>
        <v>0.728947368421053</v>
      </c>
      <c r="D18" s="26" t="n">
        <f aca="false">IFERROR(D17/D9,0)</f>
        <v>0.837719298245614</v>
      </c>
      <c r="E18" s="26" t="n">
        <f aca="false">IFERROR(E17/E9,0)</f>
        <v>0.876785714285714</v>
      </c>
      <c r="F18" s="26" t="n">
        <f aca="false">IFERROR(F17/F9,0)</f>
        <v>0.882075471698113</v>
      </c>
      <c r="G18" s="26" t="n">
        <f aca="false">IFERROR(G17/G9,0)</f>
        <v>0.888397790055249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167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26" t="n">
        <f aca="false">IFERROR(B31/B9,0)</f>
        <v>-6.8</v>
      </c>
      <c r="C32" s="26" t="n">
        <f aca="false">IFERROR(C31/C9,0)</f>
        <v>-0.807894736842105</v>
      </c>
      <c r="D32" s="26" t="n">
        <f aca="false">IFERROR(D31/D9,0)</f>
        <v>0.0456140350877193</v>
      </c>
      <c r="E32" s="26" t="n">
        <f aca="false">IFERROR(E31/E9,0)</f>
        <v>0.358214285714286</v>
      </c>
      <c r="F32" s="26" t="n">
        <f aca="false">IFERROR(F31/F9,0)</f>
        <v>0.480566037735849</v>
      </c>
      <c r="G32" s="26" t="n">
        <f aca="false">IFERROR(G31/G9,0)</f>
        <v>0.569944751381216</v>
      </c>
      <c r="H32" s="26" t="n">
        <f aca="false">IFERROR(H31/H9,0)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172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173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0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180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187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188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1" t="n">
        <f aca="false">B15+B16+B17+B18</f>
        <v>710</v>
      </c>
      <c r="C19" s="31" t="n">
        <f aca="false">C15+C16+C17+C18</f>
        <v>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190</v>
      </c>
      <c r="B21" s="33" t="n">
        <f aca="false">B8+B12+B19</f>
        <v>300</v>
      </c>
      <c r="C21" s="33" t="n">
        <f aca="false">C8+C12+C19</f>
        <v>-202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300</v>
      </c>
      <c r="D22" s="36" t="n">
        <f aca="false">C23</f>
        <v>98</v>
      </c>
      <c r="E22" s="36" t="n">
        <f aca="false">D23</f>
        <v>-142.57673378</v>
      </c>
      <c r="F22" s="36" t="n">
        <f aca="false">E23</f>
        <v>305.940588352</v>
      </c>
      <c r="G22" s="36" t="n">
        <f aca="false">F23</f>
        <v>1852.961931451</v>
      </c>
      <c r="H22" s="36" t="n">
        <f aca="false">G23</f>
        <v>5288.737295517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300</v>
      </c>
      <c r="C23" s="37" t="n">
        <f aca="false">C22+C21</f>
        <v>98</v>
      </c>
      <c r="D23" s="37" t="n">
        <f aca="false">D22+D21</f>
        <v>-142.57673378</v>
      </c>
      <c r="E23" s="37" t="n">
        <f aca="false">E22+E21</f>
        <v>305.940588352</v>
      </c>
      <c r="F23" s="37" t="n">
        <f aca="false">F22+F21</f>
        <v>1852.961931451</v>
      </c>
      <c r="G23" s="37" t="n">
        <f aca="false">G22+G21</f>
        <v>5288.737295517</v>
      </c>
      <c r="H23" s="37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0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300</v>
      </c>
      <c r="C5" s="35" t="n">
        <f aca="false">'5_Cashflow'!C23</f>
        <v>98</v>
      </c>
      <c r="D5" s="35" t="n">
        <f aca="false">'5_Cashflow'!D23</f>
        <v>-142.57673378</v>
      </c>
      <c r="E5" s="35" t="n">
        <f aca="false">'5_Cashflow'!E23</f>
        <v>305.940588352</v>
      </c>
      <c r="F5" s="35" t="n">
        <f aca="false">'5_Cashflow'!F23</f>
        <v>1852.961931451</v>
      </c>
      <c r="G5" s="35" t="n">
        <f aca="false">'5_Cashflow'!G23</f>
        <v>5288.737295517</v>
      </c>
      <c r="H5" s="35" t="n">
        <f aca="false">'5_Cashflow'!H23</f>
        <v>11670.51668055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9" t="n">
        <f aca="false">SUM(B5:B7)</f>
        <v>330</v>
      </c>
      <c r="C8" s="29" t="n">
        <f aca="false">SUM(C5:C7)</f>
        <v>163</v>
      </c>
      <c r="D8" s="29" t="n">
        <f aca="false">SUM(D5:D7)</f>
        <v>-7.57673377999998</v>
      </c>
      <c r="E8" s="29" t="n">
        <f aca="false">SUM(E5:E7)</f>
        <v>555.940588352</v>
      </c>
      <c r="F8" s="29" t="n">
        <f aca="false">SUM(F5:F7)</f>
        <v>2282.961931451</v>
      </c>
      <c r="G8" s="29" t="n">
        <f aca="false">SUM(G5:G7)</f>
        <v>5958.737295517</v>
      </c>
      <c r="H8" s="29" t="n">
        <f aca="false">SUM(H5:H7)</f>
        <v>12660.51668055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460</v>
      </c>
      <c r="C12" s="37" t="n">
        <f aca="false">C8+C11</f>
        <v>423</v>
      </c>
      <c r="D12" s="37" t="n">
        <f aca="false">D8+D11</f>
        <v>392.42326622</v>
      </c>
      <c r="E12" s="37" t="n">
        <f aca="false">E8+E11</f>
        <v>1125.940588352</v>
      </c>
      <c r="F12" s="37" t="n">
        <f aca="false">F8+F11</f>
        <v>3052.961931451</v>
      </c>
      <c r="G12" s="37" t="n">
        <f aca="false">G8+G11</f>
        <v>6968.737295517</v>
      </c>
      <c r="H12" s="37" t="n">
        <f aca="false">H8+H11</f>
        <v>13960.51668055</v>
      </c>
    </row>
    <row r="14" customFormat="false" ht="15" hidden="false" customHeight="true" outlineLevel="0" collapsed="false">
      <c r="A14" s="30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206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190</v>
      </c>
      <c r="D18" s="40" t="n">
        <f aca="false">SUM(D15:D17)</f>
        <v>218</v>
      </c>
      <c r="E18" s="40" t="n">
        <f aca="false">SUM(E15:E17)</f>
        <v>260</v>
      </c>
      <c r="F18" s="40" t="n">
        <f aca="false">SUM(F15:F17)</f>
        <v>320</v>
      </c>
      <c r="G18" s="40" t="n">
        <f aca="false">SUM(G15:G17)</f>
        <v>400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MAX(0,'3_Interest_Repayment'!I4/1000-B17)</f>
        <v>529.62</v>
      </c>
      <c r="C19" s="36" t="n">
        <f aca="false">MAX(0,'3_Interest_Repayment'!I5/1000-C17)</f>
        <v>571.08297</v>
      </c>
      <c r="D19" s="36" t="n">
        <f aca="false">MAX(0,'3_Interest_Repayment'!I6/1000-D17)</f>
        <v>426.866376</v>
      </c>
      <c r="E19" s="36" t="n">
        <f aca="false">MAX(0,'3_Interest_Repayment'!I7/1000-E17)</f>
        <v>282.649782</v>
      </c>
      <c r="F19" s="36" t="n">
        <f aca="false">MAX(0,'3_Interest_Repayment'!I8/1000-F17)</f>
        <v>138.433188</v>
      </c>
      <c r="G19" s="36" t="n">
        <f aca="false">MAX(0,'3_Interest_Repayment'!I9/1000-G17)</f>
        <v>0</v>
      </c>
      <c r="H19" s="36" t="n">
        <f aca="false">MAX(0,'3_Interest_Repayment'!I10/1000-H17)</f>
        <v>1.14596332423389E-013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571.08297</v>
      </c>
      <c r="D20" s="40" t="n">
        <f aca="false">D19</f>
        <v>426.866376</v>
      </c>
      <c r="E20" s="40" t="n">
        <f aca="false">E19</f>
        <v>282.649782</v>
      </c>
      <c r="F20" s="40" t="n">
        <f aca="false">F19</f>
        <v>138.433188</v>
      </c>
      <c r="G20" s="40" t="n">
        <f aca="false">G19</f>
        <v>0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400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70</v>
      </c>
      <c r="C26" s="36" t="n">
        <f aca="false">C12-C21-C24-C25</f>
        <v>170</v>
      </c>
      <c r="D26" s="36" t="n">
        <f aca="false">D12-D21-D24-D25</f>
        <v>317</v>
      </c>
      <c r="E26" s="36" t="n">
        <f aca="false">E12-E21-E24-E25</f>
        <v>500</v>
      </c>
      <c r="F26" s="36" t="n">
        <f aca="false">F12-F21-F24-F25</f>
        <v>715</v>
      </c>
      <c r="G26" s="36" t="n">
        <f aca="false">G12-G21-G24-G25</f>
        <v>949.216594</v>
      </c>
      <c r="H26" s="36" t="n">
        <f aca="false">H12-H21-H24-H25</f>
        <v>1215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-89.62</v>
      </c>
      <c r="C27" s="37" t="n">
        <f aca="false">C24+C25+C26</f>
        <v>-338.08297</v>
      </c>
      <c r="D27" s="37" t="n">
        <f aca="false">D24+D25+D26</f>
        <v>-252.44310978</v>
      </c>
      <c r="E27" s="37" t="n">
        <f aca="false">E24+E25+E26</f>
        <v>583.290806352</v>
      </c>
      <c r="F27" s="37" t="n">
        <f aca="false">F24+F25+F26</f>
        <v>2594.528743451</v>
      </c>
      <c r="G27" s="37" t="n">
        <f aca="false">G24+G25+G26</f>
        <v>6568.737295517</v>
      </c>
      <c r="H27" s="37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460</v>
      </c>
      <c r="C29" s="37" t="n">
        <f aca="false">C21+C27</f>
        <v>423</v>
      </c>
      <c r="D29" s="37" t="n">
        <f aca="false">D21+D27</f>
        <v>392.42326622</v>
      </c>
      <c r="E29" s="37" t="n">
        <f aca="false">E21+E27</f>
        <v>1125.940588352</v>
      </c>
      <c r="F29" s="37" t="n">
        <f aca="false">F21+F27</f>
        <v>3052.961931451</v>
      </c>
      <c r="G29" s="37" t="n">
        <f aca="false">G21+G27</f>
        <v>6968.737295517</v>
      </c>
      <c r="H29" s="37" t="n">
        <f aca="false">H21+H27</f>
        <v>13960.51668055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16.5</v>
      </c>
      <c r="C32" s="42" t="n">
        <f aca="false">IFERROR(C8/C18,0)</f>
        <v>0.857894736842105</v>
      </c>
      <c r="D32" s="42" t="n">
        <f aca="false">IFERROR(D8/D18,0)</f>
        <v>-0.0347556595412843</v>
      </c>
      <c r="E32" s="42" t="n">
        <f aca="false">IFERROR(E8/E18,0)</f>
        <v>2.13823303212308</v>
      </c>
      <c r="F32" s="42" t="n">
        <f aca="false">IFERROR(F8/F18,0)</f>
        <v>7.13425603578438</v>
      </c>
      <c r="G32" s="42" t="n">
        <f aca="false">IFERROR(G8/G18,0)</f>
        <v>14.8968432387925</v>
      </c>
      <c r="H32" s="42" t="n">
        <f aca="false">IFERROR(H8/H18,0)</f>
        <v>35.1681018904167</v>
      </c>
    </row>
    <row r="33" customFormat="false" ht="15" hidden="false" customHeight="true" outlineLevel="0" collapsed="false">
      <c r="A33" s="7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</row>
    <row r="4" customFormat="false" ht="15" hidden="false" customHeight="true" outlineLevel="0" collapsed="false">
      <c r="A4" s="14" t="s">
        <v>225</v>
      </c>
      <c r="B4" s="6" t="n">
        <v>803100</v>
      </c>
      <c r="C4" s="26" t="n">
        <f aca="false">B4/$B$13</f>
        <v>0.831280405755098</v>
      </c>
      <c r="D4" s="7" t="s">
        <v>226</v>
      </c>
    </row>
    <row r="5" customFormat="false" ht="15" hidden="false" customHeight="true" outlineLevel="0" collapsed="false">
      <c r="A5" s="14" t="s">
        <v>227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228</v>
      </c>
      <c r="B6" s="6" t="n">
        <v>50000</v>
      </c>
      <c r="C6" s="26" t="n">
        <f aca="false">B6/$B$13</f>
        <v>0.0517544767622399</v>
      </c>
      <c r="D6" s="7" t="s">
        <v>229</v>
      </c>
    </row>
    <row r="7" customFormat="false" ht="15" hidden="false" customHeight="true" outlineLevel="0" collapsed="false">
      <c r="A7" s="14" t="s">
        <v>230</v>
      </c>
      <c r="B7" s="6" t="n">
        <v>35000</v>
      </c>
      <c r="C7" s="26" t="n">
        <f aca="false">B7/$B$13</f>
        <v>0.036228133733568</v>
      </c>
      <c r="D7" s="7" t="s">
        <v>231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6" t="n">
        <f aca="false">B8/$B$13</f>
        <v>0.02587723838112</v>
      </c>
      <c r="D8" s="7" t="s">
        <v>232</v>
      </c>
    </row>
    <row r="9" customFormat="false" ht="15" hidden="false" customHeight="true" outlineLevel="0" collapsed="false">
      <c r="A9" s="14" t="s">
        <v>233</v>
      </c>
      <c r="B9" s="6" t="n">
        <v>15000</v>
      </c>
      <c r="C9" s="26" t="n">
        <f aca="false">B9/$B$13</f>
        <v>0.015526343028672</v>
      </c>
      <c r="D9" s="7" t="s">
        <v>234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6" t="n">
        <f aca="false">B10/$B$13</f>
        <v>0.010350895352448</v>
      </c>
      <c r="D10" s="7" t="s">
        <v>235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6" t="n">
        <f aca="false">B11/$B$13</f>
        <v>0.00828071628195839</v>
      </c>
      <c r="D11" s="7" t="s">
        <v>236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6" t="n">
        <f aca="false">B12/$B$13</f>
        <v>0.020701790704896</v>
      </c>
      <c r="D12" s="7" t="s">
        <v>237</v>
      </c>
    </row>
    <row r="13" customFormat="false" ht="15" hidden="false" customHeight="true" outlineLevel="0" collapsed="false">
      <c r="A13" s="13" t="s">
        <v>238</v>
      </c>
      <c r="B13" s="20" t="n">
        <f aca="false">SUM(B4:B12)</f>
        <v>966100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240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4" t="s">
        <v>241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242</v>
      </c>
      <c r="B5" s="44" t="s">
        <v>243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26" t="n">
        <f aca="false">IFERROR('4_PnL_Forecast'!B17/'4_PnL_Forecast'!B9,0)</f>
        <v>-0.2</v>
      </c>
      <c r="C6" s="26" t="n">
        <f aca="false">IFERROR('4_PnL_Forecast'!C17/'4_PnL_Forecast'!C9,0)</f>
        <v>0.728947368421053</v>
      </c>
      <c r="D6" s="26" t="n">
        <f aca="false">IFERROR('4_PnL_Forecast'!D17/'4_PnL_Forecast'!D9,0)</f>
        <v>0.837719298245614</v>
      </c>
      <c r="E6" s="26" t="n">
        <f aca="false">IFERROR('4_PnL_Forecast'!E17/'4_PnL_Forecast'!E9,0)</f>
        <v>0.876785714285714</v>
      </c>
      <c r="F6" s="26" t="n">
        <f aca="false">IFERROR('4_PnL_Forecast'!F17/'4_PnL_Forecast'!F9,0)</f>
        <v>0.882075471698113</v>
      </c>
      <c r="G6" s="26" t="n">
        <f aca="false">IFERROR('4_PnL_Forecast'!G17/'4_PnL_Forecast'!G9,0)</f>
        <v>0.888397790055249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26" t="n">
        <f aca="false">IFERROR('4_PnL_Forecast'!B31/'4_PnL_Forecast'!B9,0)</f>
        <v>-6.8</v>
      </c>
      <c r="C7" s="26" t="n">
        <f aca="false">IFERROR('4_PnL_Forecast'!C31/'4_PnL_Forecast'!C9,0)</f>
        <v>-0.807894736842105</v>
      </c>
      <c r="D7" s="26" t="n">
        <f aca="false">IFERROR('4_PnL_Forecast'!D31/'4_PnL_Forecast'!D9,0)</f>
        <v>0.0456140350877193</v>
      </c>
      <c r="E7" s="26" t="n">
        <f aca="false">IFERROR('4_PnL_Forecast'!E31/'4_PnL_Forecast'!E9,0)</f>
        <v>0.358214285714286</v>
      </c>
      <c r="F7" s="26" t="n">
        <f aca="false">IFERROR('4_PnL_Forecast'!F31/'4_PnL_Forecast'!F9,0)</f>
        <v>0.480566037735849</v>
      </c>
      <c r="G7" s="26" t="n">
        <f aca="false">IFERROR('4_PnL_Forecast'!G31/'4_PnL_Forecast'!G9,0)</f>
        <v>0.569944751381216</v>
      </c>
      <c r="H7" s="26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244</v>
      </c>
      <c r="B8" s="35" t="n">
        <f aca="false">'5_Cashflow'!B23</f>
        <v>300</v>
      </c>
      <c r="C8" s="35" t="n">
        <f aca="false">'5_Cashflow'!C23</f>
        <v>98</v>
      </c>
      <c r="D8" s="35" t="n">
        <f aca="false">'5_Cashflow'!D23</f>
        <v>-142.57673378</v>
      </c>
      <c r="E8" s="35" t="n">
        <f aca="false">'5_Cashflow'!E23</f>
        <v>305.940588352</v>
      </c>
      <c r="F8" s="35" t="n">
        <f aca="false">'5_Cashflow'!F23</f>
        <v>1852.961931451</v>
      </c>
      <c r="G8" s="35" t="n">
        <f aca="false">'5_Cashflow'!G23</f>
        <v>5288.737295517</v>
      </c>
      <c r="H8" s="35" t="n">
        <f aca="false">'5_Cashflow'!H23</f>
        <v>11670.51668055</v>
      </c>
    </row>
    <row r="9" customFormat="false" ht="15" hidden="false" customHeight="true" outlineLevel="0" collapsed="false">
      <c r="A9" s="45" t="s">
        <v>245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246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-307</v>
      </c>
      <c r="D10" s="47" t="n">
        <f aca="false">IFERROR('4_PnL_Forecast'!D31/MAX(1,('3_Interest_Repayment'!G6+'3_Interest_Repayment'!H6)/1000),0)</f>
        <v>0.263188883656218</v>
      </c>
      <c r="E10" s="47" t="n">
        <f aca="false">IFERROR('4_PnL_Forecast'!E31/MAX(1,('3_Interest_Repayment'!G7+'3_Interest_Repayment'!H7)/1000),0)</f>
        <v>5.36637103693088</v>
      </c>
      <c r="F10" s="47" t="n">
        <f aca="false">IFERROR('4_PnL_Forecast'!F31/MAX(1,('3_Interest_Repayment'!G8+'3_Interest_Repayment'!H8)/1000),0)</f>
        <v>14.4524842430626</v>
      </c>
      <c r="G10" s="47" t="n">
        <f aca="false">IFERROR('4_PnL_Forecast'!G31/MAX(1,('3_Interest_Repayment'!G9+'3_Interest_Repayment'!H9)/1000),0)</f>
        <v>31.1547460265565</v>
      </c>
      <c r="H10" s="47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247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248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249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250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251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-390.1</v>
      </c>
      <c r="D16" s="48" t="n">
        <f aca="false">IFERROR(D15/MAX(1,('3_Interest_Repayment'!G6+'3_Interest_Repayment'!H6)/1000),0)</f>
        <v>-1.18688063879583</v>
      </c>
      <c r="E16" s="48" t="n">
        <f aca="false">IFERROR(E15/MAX(1,('3_Interest_Repayment'!G7+'3_Interest_Repayment'!H7)/1000),0)</f>
        <v>1.42586030044076</v>
      </c>
      <c r="F16" s="48" t="n">
        <f aca="false">IFERROR(F15/MAX(1,('3_Interest_Repayment'!G8+'3_Interest_Repayment'!H8)/1000),0)</f>
        <v>6.49425528707702</v>
      </c>
      <c r="G16" s="48" t="n">
        <f aca="false">IFERROR(G15/MAX(1,('3_Interest_Repayment'!G9+'3_Interest_Repayment'!H9)/1000),0)</f>
        <v>16.5860668066933</v>
      </c>
      <c r="H16" s="48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252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253</v>
      </c>
      <c r="B19" s="49" t="n">
        <f aca="false">'1_Cover_Assumptions'!B51</f>
        <v>0.778729558349093</v>
      </c>
      <c r="D19" s="11" t="s">
        <v>254</v>
      </c>
    </row>
    <row r="20" customFormat="false" ht="15" hidden="false" customHeight="true" outlineLevel="0" collapsed="false">
      <c r="A20" s="34" t="s">
        <v>255</v>
      </c>
      <c r="B20" s="46" t="n">
        <f aca="false">MIN('6_Balance_Sheet'!B32:H32)</f>
        <v>-0.0347556595412843</v>
      </c>
      <c r="D20" s="11" t="s">
        <v>256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2026-05-09T16:53:46Z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